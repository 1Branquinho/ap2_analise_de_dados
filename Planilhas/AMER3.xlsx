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265b199f85171b/Faculdade/3° Semestre/Contabilidade Financeira/AC/"/>
    </mc:Choice>
  </mc:AlternateContent>
  <xr:revisionPtr revIDLastSave="611" documentId="14_{4522ED50-F80A-41BB-A6B2-3B52BBE5784D}" xr6:coauthVersionLast="47" xr6:coauthVersionMax="47" xr10:uidLastSave="{44D079B7-9977-4C8C-85AE-DA7E6E40EB49}"/>
  <bookViews>
    <workbookView xWindow="-120" yWindow="-120" windowWidth="20730" windowHeight="11160" xr2:uid="{6C3B10DC-5BFF-4C41-B3B6-9EAB2036AD3C}"/>
  </bookViews>
  <sheets>
    <sheet name="DRE" sheetId="8" r:id="rId1"/>
    <sheet name="Indicadores" sheetId="1" r:id="rId2"/>
    <sheet name="Estrutura" sheetId="5" r:id="rId3"/>
    <sheet name="20234T" sheetId="9" r:id="rId4"/>
    <sheet name="20244T" sheetId="6" r:id="rId5"/>
    <sheet name="20254T" sheetId="3" r:id="rId6"/>
  </sheets>
  <definedNames>
    <definedName name="COFINS">#REF!</definedName>
    <definedName name="CSLL">#REF!</definedName>
    <definedName name="DADO_RECEITA">" "</definedName>
    <definedName name="DADOS_RECEITAS">#REF!</definedName>
    <definedName name="DadosExternos_1" localSheetId="3" hidden="1">'20234T'!$A$1:$I$337</definedName>
    <definedName name="DadosExternos_1" localSheetId="4" hidden="1">'20244T'!$A$1:$I$343</definedName>
    <definedName name="DadosExternos_1" localSheetId="5" hidden="1">'20254T'!$A$1:$I$344</definedName>
    <definedName name="DRE">DRE!$C$6:$G$59</definedName>
    <definedName name="IMPOSTOS_DRE">DRE!$F$49:$F$54</definedName>
    <definedName name="IRPJ">#REF!</definedName>
    <definedName name="IRPJEXTRA">#REF!</definedName>
    <definedName name="ISS">#REF!</definedName>
    <definedName name="PI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G84" i="1"/>
  <c r="G85" i="1" s="1"/>
  <c r="G77" i="1"/>
  <c r="G78" i="1" s="1"/>
  <c r="G73" i="1"/>
  <c r="G75" i="1" s="1"/>
  <c r="G63" i="1"/>
  <c r="G61" i="1"/>
  <c r="G58" i="1"/>
  <c r="G57" i="1"/>
  <c r="G59" i="1" s="1"/>
  <c r="G55" i="1"/>
  <c r="G56" i="1" s="1"/>
  <c r="G54" i="1"/>
  <c r="G49" i="1"/>
  <c r="G48" i="1" s="1"/>
  <c r="G47" i="1" s="1"/>
  <c r="G37" i="1"/>
  <c r="F84" i="1"/>
  <c r="F85" i="1" s="1"/>
  <c r="F77" i="1"/>
  <c r="F83" i="1" s="1"/>
  <c r="F73" i="1"/>
  <c r="F75" i="1" s="1"/>
  <c r="F63" i="1"/>
  <c r="F61" i="1"/>
  <c r="F58" i="1"/>
  <c r="F57" i="1"/>
  <c r="F55" i="1"/>
  <c r="F56" i="1" s="1"/>
  <c r="F54" i="1"/>
  <c r="F49" i="1"/>
  <c r="F37" i="1"/>
  <c r="G81" i="1"/>
  <c r="F81" i="1"/>
  <c r="G79" i="1"/>
  <c r="G76" i="1" s="1"/>
  <c r="F79" i="1"/>
  <c r="F76" i="1" s="1"/>
  <c r="F86" i="1" l="1"/>
  <c r="G86" i="1"/>
  <c r="F60" i="1"/>
  <c r="G60" i="1"/>
  <c r="F50" i="1"/>
  <c r="G38" i="1"/>
  <c r="G39" i="1"/>
  <c r="G46" i="1" s="1"/>
  <c r="F48" i="1"/>
  <c r="F47" i="1" s="1"/>
  <c r="F39" i="1"/>
  <c r="F46" i="1" s="1"/>
  <c r="F38" i="1"/>
  <c r="G50" i="1"/>
  <c r="F82" i="1"/>
  <c r="G82" i="1"/>
  <c r="G83" i="1"/>
  <c r="F78" i="1"/>
  <c r="G45" i="1" l="1"/>
  <c r="G51" i="1" s="1"/>
  <c r="G62" i="1"/>
  <c r="G41" i="1"/>
  <c r="G40" i="1"/>
  <c r="G42" i="1" s="1"/>
  <c r="G87" i="1"/>
  <c r="F62" i="1"/>
  <c r="F41" i="1"/>
  <c r="F40" i="1"/>
  <c r="F42" i="1" s="1"/>
  <c r="F45" i="1"/>
  <c r="F51" i="1" s="1"/>
  <c r="F87" i="1"/>
  <c r="F89" i="1" s="1"/>
  <c r="F68" i="1" l="1"/>
  <c r="F67" i="1"/>
  <c r="F69" i="1" s="1"/>
  <c r="F64" i="1"/>
  <c r="G90" i="1"/>
  <c r="G89" i="1"/>
  <c r="G67" i="1"/>
  <c r="G69" i="1" s="1"/>
  <c r="G64" i="1"/>
  <c r="G68" i="1"/>
  <c r="G88" i="1"/>
  <c r="F88" i="1"/>
  <c r="F90" i="1"/>
  <c r="F14" i="1" l="1"/>
  <c r="F15" i="1" s="1"/>
  <c r="F13" i="1"/>
  <c r="F11" i="1"/>
  <c r="F12" i="1" s="1"/>
  <c r="J41" i="8"/>
  <c r="H41" i="8"/>
  <c r="F41" i="8"/>
  <c r="F56" i="8"/>
  <c r="F54" i="8"/>
  <c r="F49" i="8"/>
  <c r="F46" i="8"/>
  <c r="F43" i="8"/>
  <c r="F40" i="8"/>
  <c r="F37" i="8"/>
  <c r="F34" i="8"/>
  <c r="F32" i="8"/>
  <c r="F26" i="8"/>
  <c r="F23" i="8"/>
  <c r="F20" i="8"/>
  <c r="F17" i="8"/>
  <c r="F14" i="8"/>
  <c r="F10" i="8"/>
  <c r="F47" i="8" l="1"/>
  <c r="F21" i="8"/>
  <c r="F35" i="8"/>
  <c r="F38" i="8"/>
  <c r="F15" i="8"/>
  <c r="F24" i="8"/>
  <c r="F18" i="8"/>
  <c r="F44" i="8"/>
  <c r="F57" i="8"/>
  <c r="F29" i="8"/>
  <c r="F30" i="8" s="1"/>
  <c r="F12" i="8"/>
  <c r="J56" i="8"/>
  <c r="J54" i="8"/>
  <c r="J49" i="8"/>
  <c r="J46" i="8"/>
  <c r="J43" i="8"/>
  <c r="J40" i="8"/>
  <c r="J37" i="8"/>
  <c r="J34" i="8"/>
  <c r="J32" i="8"/>
  <c r="J26" i="8"/>
  <c r="J23" i="8"/>
  <c r="J20" i="8"/>
  <c r="J17" i="8"/>
  <c r="J14" i="8"/>
  <c r="J10" i="8"/>
  <c r="H54" i="8"/>
  <c r="H56" i="8"/>
  <c r="H49" i="8"/>
  <c r="H46" i="8"/>
  <c r="H43" i="8"/>
  <c r="H40" i="8"/>
  <c r="H37" i="8"/>
  <c r="H34" i="8"/>
  <c r="H32" i="8"/>
  <c r="H26" i="8"/>
  <c r="H23" i="8"/>
  <c r="H20" i="8"/>
  <c r="H17" i="8"/>
  <c r="H14" i="8"/>
  <c r="H10" i="8"/>
  <c r="J18" i="8" l="1"/>
  <c r="J35" i="8"/>
  <c r="J24" i="8"/>
  <c r="H18" i="8"/>
  <c r="J47" i="8"/>
  <c r="H21" i="8"/>
  <c r="H47" i="8"/>
  <c r="J21" i="8"/>
  <c r="H24" i="8"/>
  <c r="H57" i="8"/>
  <c r="J15" i="8"/>
  <c r="H44" i="8"/>
  <c r="J44" i="8"/>
  <c r="J57" i="8"/>
  <c r="H12" i="8"/>
  <c r="H35" i="8"/>
  <c r="J38" i="8"/>
  <c r="H29" i="8"/>
  <c r="H30" i="8" s="1"/>
  <c r="H38" i="8"/>
  <c r="J29" i="8"/>
  <c r="J30" i="8" s="1"/>
  <c r="H15" i="8"/>
  <c r="J12" i="8"/>
  <c r="F5" i="1"/>
  <c r="G5" i="1"/>
  <c r="F4" i="1" l="1"/>
  <c r="G14" i="1" l="1"/>
  <c r="G15" i="1" s="1"/>
  <c r="G36" i="1"/>
  <c r="F36" i="1"/>
  <c r="G35" i="1"/>
  <c r="F35" i="1"/>
  <c r="G34" i="1"/>
  <c r="F34" i="1"/>
  <c r="G33" i="1"/>
  <c r="F33" i="1"/>
  <c r="G32" i="1"/>
  <c r="F32" i="1"/>
  <c r="G22" i="1"/>
  <c r="F22" i="1"/>
  <c r="G19" i="1"/>
  <c r="G20" i="1" s="1"/>
  <c r="F19" i="1"/>
  <c r="F18" i="1"/>
  <c r="F16" i="1"/>
  <c r="F17" i="1" s="1"/>
  <c r="G13" i="1"/>
  <c r="G11" i="1"/>
  <c r="G18" i="1" s="1"/>
  <c r="F8" i="1"/>
  <c r="F7" i="1"/>
  <c r="F6" i="1"/>
  <c r="G4" i="1"/>
  <c r="G8" i="1"/>
  <c r="G7" i="1"/>
  <c r="G6" i="1"/>
  <c r="F27" i="1" l="1"/>
  <c r="G21" i="1"/>
  <c r="G16" i="1"/>
  <c r="G12" i="1"/>
  <c r="F20" i="1"/>
  <c r="F23" i="1"/>
  <c r="F24" i="1" s="1"/>
  <c r="G27" i="1"/>
  <c r="G23" i="1"/>
  <c r="G24" i="1" s="1"/>
  <c r="G29" i="1" s="1"/>
  <c r="G17" i="1"/>
  <c r="F28" i="1" l="1"/>
  <c r="G28" i="1"/>
  <c r="F21" i="1"/>
  <c r="F2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271BC3-3334-44F4-A8D4-B22276D58AD7}" keepAlive="1" name="Consulta - BALANCO" description="Conexão com a consulta 'BALANCO' na pasta de trabalho." type="5" refreshedVersion="8" background="1" saveData="1">
    <dbPr connection="Provider=Microsoft.Mashup.OleDb.1;Data Source=$Workbook$;Location=BALANCO;Extended Properties=&quot;&quot;" command="SELECT * FROM [BALANCO]"/>
  </connection>
  <connection id="2" xr16:uid="{0D3ED799-6553-4AD7-9CAF-64BC3D28F6E1}" keepAlive="1" name="Consulta - BALANCO (2)" description="Conexão com a consulta 'BALANCO (2)' na pasta de trabalho." type="5" refreshedVersion="8" background="1" saveData="1">
    <dbPr connection="Provider=Microsoft.Mashup.OleDb.1;Data Source=$Workbook$;Location=&quot;BALANCO (2)&quot;;Extended Properties=&quot;&quot;" command="SELECT * FROM [BALANCO (2)]"/>
  </connection>
  <connection id="3" xr16:uid="{0F70BC05-1B1B-4E47-BD89-72A23F6DDD5B}" keepAlive="1" name="Consulta - BALANCO (3)" description="Conexão com a consulta 'BALANCO (3)' na pasta de trabalho." type="5" refreshedVersion="8" background="1" saveData="1">
    <dbPr connection="Provider=Microsoft.Mashup.OleDb.1;Data Source=$Workbook$;Location=&quot;BALANCO (3)&quot;;Extended Properties=&quot;&quot;" command="SELECT * FROM [BALANCO (3)]"/>
  </connection>
  <connection id="4" xr16:uid="{938382C9-9664-454B-8CEC-FDACDAF664EB}" keepAlive="1" name="Consulta - BALANCO (4)" description="Conexão com a consulta 'BALANCO (4)' na pasta de trabalho." type="5" refreshedVersion="8" background="1" saveData="1">
    <dbPr connection="Provider=Microsoft.Mashup.OleDb.1;Data Source=$Workbook$;Location=&quot;BALANCO (4)&quot;;Extended Properties=&quot;&quot;" command="SELECT * FROM [BALANCO (4)]"/>
  </connection>
</connections>
</file>

<file path=xl/sharedStrings.xml><?xml version="1.0" encoding="utf-8"?>
<sst xmlns="http://schemas.openxmlformats.org/spreadsheetml/2006/main" count="5780" uniqueCount="890">
  <si>
    <t>Indicadores</t>
  </si>
  <si>
    <t>Compras</t>
  </si>
  <si>
    <t>Ativo Circulante</t>
  </si>
  <si>
    <t>Passivo Circulante</t>
  </si>
  <si>
    <t>Relação de Capitais (Passivo/PL)</t>
  </si>
  <si>
    <t>Endividamento Geral (Passivo/(Passivo + PL))</t>
  </si>
  <si>
    <t>Solvência Geral (Ativo/Passivo)</t>
  </si>
  <si>
    <t>Composição do Endividamento (PC/Passivo)</t>
  </si>
  <si>
    <t>Imobilização do PL (Ativos Fixos/PL)</t>
  </si>
  <si>
    <t>id</t>
  </si>
  <si>
    <t>empresa_tic</t>
  </si>
  <si>
    <t>ano_tri</t>
  </si>
  <si>
    <t>data_ini</t>
  </si>
  <si>
    <t>data_fim</t>
  </si>
  <si>
    <t>conta</t>
  </si>
  <si>
    <t>descricao</t>
  </si>
  <si>
    <t>valor</t>
  </si>
  <si>
    <t>tipo_balanco</t>
  </si>
  <si>
    <t>AMER</t>
  </si>
  <si>
    <t>20254T</t>
  </si>
  <si>
    <t>Ativo Total</t>
  </si>
  <si>
    <t>DFs Consolidadas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</si>
  <si>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</si>
  <si>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</si>
  <si>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</si>
  <si>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</si>
  <si>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</si>
  <si>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Títulos e valores mobiliários</t>
  </si>
  <si>
    <t>Outros ativos financeiros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</si>
  <si>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</si>
  <si>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</si>
  <si>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</si>
  <si>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</si>
  <si>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</si>
  <si>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</si>
  <si>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</si>
  <si>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</si>
  <si>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</si>
  <si>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Impostos a Recuperar</t>
  </si>
  <si>
    <t>Imposto de renda e contribuição social</t>
  </si>
  <si>
    <t>Despesas Antecipadas</t>
  </si>
  <si>
    <t>Outros Ativos Circulantes</t>
  </si>
  <si>
    <t>Ativos Não-Correntes a Venda</t>
  </si>
  <si>
    <t>Ativos de Operações Descontinuadas</t>
  </si>
  <si>
    <t>Outros</t>
  </si>
  <si>
    <t>Contas a receber - Partes relacionadas</t>
  </si>
  <si>
    <t>Ativo Não Circulante</t>
  </si>
  <si>
    <t>Ativo Realizável a Longo Prazo</t>
  </si>
  <si>
    <t>Depósitos Judiciais</t>
  </si>
  <si>
    <t>Impostos a recuperar</t>
  </si>
  <si>
    <t>Outros Ativos Não Circulantes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</si>
  <si>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</si>
  <si>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</si>
  <si>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</si>
  <si>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</si>
  <si>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</si>
  <si>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</si>
  <si>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Contas a receber de acionistas - Plano de subscrição de ações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</si>
  <si>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</si>
  <si>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</si>
  <si>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</si>
  <si>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</si>
  <si>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</si>
  <si>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</si>
  <si>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</si>
  <si>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</si>
  <si>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</si>
  <si>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Ativo de Direito de Uso</t>
  </si>
  <si>
    <t>Imobilizado em Andamento</t>
  </si>
  <si>
    <t>Intangível</t>
  </si>
  <si>
    <t>Intangíveis</t>
  </si>
  <si>
    <t>Contrato de Concessão</t>
  </si>
  <si>
    <t>Goodwill</t>
  </si>
  <si>
    <t>Passivo Total</t>
  </si>
  <si>
    <t>Obrigações Sociais e Trabalhistas</t>
  </si>
  <si>
    <t>Obrigações Sociais</t>
  </si>
  <si>
    <t>Obrigações Trabalhistas</t>
  </si>
  <si>
    <t>Salários, encargos e contribuições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</si>
  <si>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</si>
  <si>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</si>
  <si>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</si>
  <si>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</si>
  <si>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</si>
  <si>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</si>
  <si>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Imposto sobre Produtos Industrializados (IPI)</t>
  </si>
  <si>
    <t>PIS e Cofins</t>
  </si>
  <si>
    <t>Imposto de Renda Retido na Fonte</t>
  </si>
  <si>
    <t>Parcelamento Federal</t>
  </si>
  <si>
    <t>Obrigações Fiscais Estaduais</t>
  </si>
  <si>
    <t>Imposto sobre Circulação de Mercadorias Serviços - ICMS</t>
  </si>
  <si>
    <t>Parcelamento Estadual</t>
  </si>
  <si>
    <t>Obrigações Fiscais Municipais</t>
  </si>
  <si>
    <t>Imposto sobre Serviços - ISS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</si>
  <si>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</si>
  <si>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</si>
  <si>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</si>
  <si>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</si>
  <si>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</si>
  <si>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</si>
  <si>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</si>
  <si>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</si>
  <si>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</si>
  <si>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</si>
  <si>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</si>
  <si>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</si>
  <si>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</si>
  <si>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Contas a Pagar - Combinação de Negócios</t>
  </si>
  <si>
    <t>Adiantamento Recebido de Clientes</t>
  </si>
  <si>
    <t>Passivo de arrendamento</t>
  </si>
  <si>
    <t>Dividendos e participações propostos</t>
  </si>
  <si>
    <t>Risco Sacado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</si>
  <si>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</si>
  <si>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</si>
  <si>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</si>
  <si>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</si>
  <si>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</si>
  <si>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</si>
  <si>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Provisões Imobiliário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</si>
  <si>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</si>
  <si>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</si>
  <si>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</si>
  <si>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</si>
  <si>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</si>
  <si>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</si>
  <si>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</si>
  <si>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</si>
  <si>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</si>
  <si>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Provisão para perdas em investimentos</t>
  </si>
  <si>
    <t>Plano de Assistência Médica</t>
  </si>
  <si>
    <t>Tributos a recolher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</si>
  <si>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</si>
  <si>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</si>
  <si>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</si>
  <si>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</si>
  <si>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</si>
  <si>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</si>
  <si>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</si>
  <si>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</si>
  <si>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</si>
  <si>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</si>
  <si>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</si>
  <si>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</si>
  <si>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Plano de Opção de Ações</t>
  </si>
  <si>
    <t>Plano de subscrição de ações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</si>
  <si>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</si>
  <si>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</si>
  <si>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</si>
  <si>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</si>
  <si>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</si>
  <si>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</si>
  <si>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</si>
  <si>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</si>
  <si>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</si>
  <si>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</si>
  <si>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Acervo Líquido incorporado</t>
  </si>
  <si>
    <t>Reserva para novos empreendimentos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</si>
  <si>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</si>
  <si>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</si>
  <si>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</si>
  <si>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</si>
  <si>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</si>
  <si>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</si>
  <si>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</si>
  <si>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</si>
  <si>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</si>
  <si>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</si>
  <si>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</si>
  <si>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</si>
  <si>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</si>
  <si>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</si>
  <si>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Honorários Administradores</t>
  </si>
  <si>
    <t>Outras (despesas) receitas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</si>
  <si>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</si>
  <si>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</si>
  <si>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</si>
  <si>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</si>
  <si>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</si>
  <si>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</si>
  <si>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</si>
  <si>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</si>
  <si>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</si>
  <si>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</si>
  <si>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</si>
  <si>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</si>
  <si>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</si>
  <si>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</si>
  <si>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</si>
  <si>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</si>
  <si>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</si>
  <si>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</si>
  <si>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</si>
  <si>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</si>
  <si>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Caixa Líquido Atividades Operacionais</t>
  </si>
  <si>
    <t>Caixa Gerado nas Operações</t>
  </si>
  <si>
    <t>Lucro do exercício das operações continuadas</t>
  </si>
  <si>
    <t>Prejuízo do exercício das operações descontinuadas</t>
  </si>
  <si>
    <t>Depreciação e amortização</t>
  </si>
  <si>
    <t>Imposto de renda e contribuição social corrente e diferido</t>
  </si>
  <si>
    <t>Juros, variações monetárias, cambiais e custo de captação</t>
  </si>
  <si>
    <t>Equivalência patrimonial</t>
  </si>
  <si>
    <t>Constituição de provisão para processos judiciais e contingências</t>
  </si>
  <si>
    <t>Reversão de provisão para processos judiciais e contingências</t>
  </si>
  <si>
    <t>Ajuste a valor presente de obrigações</t>
  </si>
  <si>
    <t>Provisão (reversão) para impairment</t>
  </si>
  <si>
    <t>Haircut</t>
  </si>
  <si>
    <t>Variações nos Ativos e Passivos</t>
  </si>
  <si>
    <t>Contas a receber</t>
  </si>
  <si>
    <t>Tributos a recuperar</t>
  </si>
  <si>
    <t>Despesas antecipadas (circulante e não circulante)</t>
  </si>
  <si>
    <t>Outras contas a receber (circulante e não circulante)</t>
  </si>
  <si>
    <t>Salários, encargos e contribuições sociais</t>
  </si>
  <si>
    <t>Tributos a recolher (circulante e não circulante)</t>
  </si>
  <si>
    <t>Contas a receber/pagar com partes relacionadas</t>
  </si>
  <si>
    <t>Outras obrigações (circulante e não circulante)</t>
  </si>
  <si>
    <t>Pagamento de contingências</t>
  </si>
  <si>
    <t>Juros pagos sobre empréstimos e debêntures</t>
  </si>
  <si>
    <t>Juros pagos sobre arrendamentos</t>
  </si>
  <si>
    <t>Imposto de Renda e Contribuição Social Pagos</t>
  </si>
  <si>
    <t>Atividades operacionais - operações descontinuadas</t>
  </si>
  <si>
    <t>Caixa Líquido Atividades de Investimento</t>
  </si>
  <si>
    <t>Títulos e valores mobiliários e FIDC</t>
  </si>
  <si>
    <t>Aquisição de imobilizado e intangível</t>
  </si>
  <si>
    <t>Aumento de capital em controladas</t>
  </si>
  <si>
    <t>Caixa líquido incorporado</t>
  </si>
  <si>
    <t>Valor pago pelas aquisições de controladas</t>
  </si>
  <si>
    <t>Valor recebido pela venda de controladas</t>
  </si>
  <si>
    <t>Aquisições de participações societárias</t>
  </si>
  <si>
    <t>Dividendos recebidos</t>
  </si>
  <si>
    <t>Atividade de financiamento das operações descontinuadas</t>
  </si>
  <si>
    <t>Caixa Líquido Atividades de Financiamento</t>
  </si>
  <si>
    <t>Captações de debêntures e empréstimos</t>
  </si>
  <si>
    <t>Liquidações de debêntures e empréstimos</t>
  </si>
  <si>
    <t>Pagamentos de passivo de arrendamento</t>
  </si>
  <si>
    <t>Aumento de capital</t>
  </si>
  <si>
    <t>Reserva de Capital</t>
  </si>
  <si>
    <t>Dividendos</t>
  </si>
  <si>
    <t>Ajuste de Avaliação patrimonial</t>
  </si>
  <si>
    <t>Alienação (aquisição) de ações em tesouraria</t>
  </si>
  <si>
    <t>Contas a receber plano de ações</t>
  </si>
  <si>
    <t>Variação Cambial s/ Caixa e Equivalentes</t>
  </si>
  <si>
    <t>Aumento (Redução) de Caixa e Equivalentes</t>
  </si>
  <si>
    <t>Saldo Inicial de Caixa e Equivalentes</t>
  </si>
  <si>
    <t>Saldo Final de Caixa e Equivalentes</t>
  </si>
  <si>
    <t>Receitas</t>
  </si>
  <si>
    <t>Vendas de Mercadorias, Produtos e Serviços</t>
  </si>
  <si>
    <t>Outras Receitas</t>
  </si>
  <si>
    <t>Receitas refs. à Construção de Ativos Próprios</t>
  </si>
  <si>
    <t>Provisão/Reversão de Créds. Liquidação Duvidosa</t>
  </si>
  <si>
    <t>Insumos Adquiridos de Terceiros</t>
  </si>
  <si>
    <t>Custos Prods., Mercs. e Servs. Vendidos</t>
  </si>
  <si>
    <t>Materiais, Energia, Servs. de Terceiros e Outros</t>
  </si>
  <si>
    <t>Perda/Recuperação de Valores Ativos</t>
  </si>
  <si>
    <t>Valor Adicionado Bruto</t>
  </si>
  <si>
    <t>Retenções</t>
  </si>
  <si>
    <t>Depreciação, Amortização e Exaustão</t>
  </si>
  <si>
    <t>Outras</t>
  </si>
  <si>
    <t>Perda e recuperação de valores ativos</t>
  </si>
  <si>
    <t>Valor Adicionado Líquido Produzido</t>
  </si>
  <si>
    <t>Vlr Adicionado Recebido em Transferência</t>
  </si>
  <si>
    <t>Valor Adicionado Total a Distribuir</t>
  </si>
  <si>
    <t>Distribuição do Valor Adicionado</t>
  </si>
  <si>
    <t>Pessoal</t>
  </si>
  <si>
    <t>Remuneração Direta</t>
  </si>
  <si>
    <t>Benefícios</t>
  </si>
  <si>
    <t>F.G.T.S.</t>
  </si>
  <si>
    <t>Impostos, Taxas e Contribuições</t>
  </si>
  <si>
    <t>Federais</t>
  </si>
  <si>
    <t>Estaduais</t>
  </si>
  <si>
    <t>Municipais</t>
  </si>
  <si>
    <t>Remuneração de Capitais de Terceiros</t>
  </si>
  <si>
    <t>Juros</t>
  </si>
  <si>
    <t>Aluguéis</t>
  </si>
  <si>
    <t>Remuneração de Capitais Próprios</t>
  </si>
  <si>
    <t>Juros sobre o Capital Próprio</t>
  </si>
  <si>
    <t>Lucros Retidos / Prejuízo do Período</t>
  </si>
  <si>
    <t>Part. Não Controladores nos Lucros Retidos</t>
  </si>
  <si>
    <t>Resultado das operações descontinuadas</t>
  </si>
  <si>
    <t>1</t>
  </si>
  <si>
    <t>1.01</t>
  </si>
  <si>
    <t>1.01.01</t>
  </si>
  <si>
    <t>1.01.02</t>
  </si>
  <si>
    <t>1.01.02.01</t>
  </si>
  <si>
    <t>1.01.02.01.01</t>
  </si>
  <si>
    <t>1.01.02.01.02</t>
  </si>
  <si>
    <t>1.01.02.01.03</t>
  </si>
  <si>
    <t>1.01.02.01.04</t>
  </si>
  <si>
    <t>1.01.02.02</t>
  </si>
  <si>
    <t>1.01.02.03</t>
  </si>
  <si>
    <t>1.01.03</t>
  </si>
  <si>
    <t>1.01.03.01</t>
  </si>
  <si>
    <t>1.01.03.02</t>
  </si>
  <si>
    <t>1.01.04</t>
  </si>
  <si>
    <t>1.01.04.01</t>
  </si>
  <si>
    <t>1.01.05</t>
  </si>
  <si>
    <t>1.01.06</t>
  </si>
  <si>
    <t>1.01.06.01</t>
  </si>
  <si>
    <t>1.01.06.01.01</t>
  </si>
  <si>
    <t>1.01.06.01.02</t>
  </si>
  <si>
    <t>1.01.07</t>
  </si>
  <si>
    <t>1.01.07.01</t>
  </si>
  <si>
    <t>1.01.08</t>
  </si>
  <si>
    <t>1.01.08.01</t>
  </si>
  <si>
    <t>1.01.08.02</t>
  </si>
  <si>
    <t>1.01.08.03</t>
  </si>
  <si>
    <t>1.01.08.03.01</t>
  </si>
  <si>
    <t>1.01.08.03.02</t>
  </si>
  <si>
    <t>1.02</t>
  </si>
  <si>
    <t>1.02.01</t>
  </si>
  <si>
    <t>1.02.01.01</t>
  </si>
  <si>
    <t>1.02.01.01.01</t>
  </si>
  <si>
    <t>1.02.01.02</t>
  </si>
  <si>
    <t>1.02.01.03</t>
  </si>
  <si>
    <t>1.02.01.03.01</t>
  </si>
  <si>
    <t>1.02.01.03.02</t>
  </si>
  <si>
    <t>1.02.01.04</t>
  </si>
  <si>
    <t>1.02.01.04.01</t>
  </si>
  <si>
    <t>1.02.01.04.02</t>
  </si>
  <si>
    <t>1.02.01.05</t>
  </si>
  <si>
    <t>1.02.01.05.03</t>
  </si>
  <si>
    <t>1.02.01.05.04</t>
  </si>
  <si>
    <t>1.02.01.05.05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</si>
  <si>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</si>
  <si>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</si>
  <si>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</si>
  <si>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</si>
  <si>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</si>
  <si>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</si>
  <si>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</si>
  <si>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</si>
  <si>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1.02.01.09.05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</si>
  <si>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</si>
  <si>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</si>
  <si>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</si>
  <si>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</si>
  <si>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</si>
  <si>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</si>
  <si>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</si>
  <si>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1.02.01.10.07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</si>
  <si>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</si>
  <si>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</si>
  <si>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</si>
  <si>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</si>
  <si>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</si>
  <si>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</si>
  <si>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</si>
  <si>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</si>
  <si>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</si>
  <si>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1.02.03.02.01</t>
  </si>
  <si>
    <t>1.02.03.03</t>
  </si>
  <si>
    <t>1.02.04</t>
  </si>
  <si>
    <t>1.02.04.01</t>
  </si>
  <si>
    <t>1.02.04.01.01</t>
  </si>
  <si>
    <t>1.02.04.02</t>
  </si>
  <si>
    <t>2</t>
  </si>
  <si>
    <t>2.01</t>
  </si>
  <si>
    <t>2.01.01</t>
  </si>
  <si>
    <t>2.01.01.01</t>
  </si>
  <si>
    <t>2.01.01.02</t>
  </si>
  <si>
    <t>2.01.01.02.01</t>
  </si>
  <si>
    <t>2.01.02</t>
  </si>
  <si>
    <t>2.01.02.01</t>
  </si>
  <si>
    <t>2.01.02.01.01</t>
  </si>
  <si>
    <t>2.01.02.02</t>
  </si>
  <si>
    <t>2.01.03</t>
  </si>
  <si>
    <t>2.01.03.01</t>
  </si>
  <si>
    <t>2.01.03.01.01</t>
  </si>
  <si>
    <t>2.01.03.01.02</t>
  </si>
  <si>
    <t>2.01.03.01.03</t>
  </si>
  <si>
    <t>2.01.03.01.04</t>
  </si>
  <si>
    <t>2.01.03.01.05</t>
  </si>
  <si>
    <t>2.01.03.01.06</t>
  </si>
  <si>
    <t>2.01.03.02</t>
  </si>
  <si>
    <t>2.01.03.02.01</t>
  </si>
  <si>
    <t>2.01.03.02.02</t>
  </si>
  <si>
    <t>2.01.03.03</t>
  </si>
  <si>
    <t>2.01.03.03.01</t>
  </si>
  <si>
    <t>2.01.04</t>
  </si>
  <si>
    <t>2.01.04.01</t>
  </si>
  <si>
    <t>2.01.04.01.01</t>
  </si>
  <si>
    <t>2.01.04.01.02</t>
  </si>
  <si>
    <t>2.01.04.02</t>
  </si>
  <si>
    <t>2.01.04.02.01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</si>
  <si>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</si>
  <si>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</si>
  <si>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</si>
  <si>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</si>
  <si>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</si>
  <si>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</si>
  <si>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</si>
  <si>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</si>
  <si>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</si>
  <si>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</si>
  <si>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</si>
  <si>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</si>
  <si>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</si>
  <si>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</si>
  <si>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</si>
  <si>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2.01.05.02.09</t>
  </si>
  <si>
    <t>2.01.06</t>
  </si>
  <si>
    <t>2.01.06.01</t>
  </si>
  <si>
    <t>2.01.06.01.01</t>
  </si>
  <si>
    <t>2.01.06.01.02</t>
  </si>
  <si>
    <t>2.01.06.01.03</t>
  </si>
  <si>
    <t>2.01.06.01.04</t>
  </si>
  <si>
    <t>2.01.06.01.05</t>
  </si>
  <si>
    <t>2.01.06.02</t>
  </si>
  <si>
    <t>2.01.06.02.01</t>
  </si>
  <si>
    <t>2.01.06.02.02</t>
  </si>
  <si>
    <t>2.01.06.02.03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</si>
  <si>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</si>
  <si>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</si>
  <si>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</si>
  <si>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</si>
  <si>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</si>
  <si>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</si>
  <si>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</si>
  <si>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</si>
  <si>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</si>
  <si>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2.02.01.02.01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</si>
  <si>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</si>
  <si>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</si>
  <si>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</si>
  <si>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</si>
  <si>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</si>
  <si>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</si>
  <si>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</si>
  <si>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</si>
  <si>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</si>
  <si>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</si>
  <si>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</si>
  <si>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</si>
  <si>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</si>
  <si>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</si>
  <si>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2.02.02.02.08</t>
  </si>
  <si>
    <t>2.02.02.02.09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</si>
  <si>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</si>
  <si>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</si>
  <si>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</si>
  <si>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</si>
  <si>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</si>
  <si>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</si>
  <si>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</si>
  <si>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</si>
  <si>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2.02.04.01.05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</si>
  <si>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</si>
  <si>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</si>
  <si>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</si>
  <si>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</si>
  <si>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</si>
  <si>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</si>
  <si>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</si>
  <si>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</si>
  <si>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</si>
  <si>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</si>
  <si>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</si>
  <si>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</si>
  <si>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</si>
  <si>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</si>
  <si>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</si>
  <si>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</si>
  <si>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</si>
  <si>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</si>
  <si>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</si>
  <si>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</si>
  <si>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</si>
  <si>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2.03.02.08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</si>
  <si>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</si>
  <si>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</si>
  <si>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</si>
  <si>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</si>
  <si>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</si>
  <si>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</si>
  <si>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</si>
  <si>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</si>
  <si>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</si>
  <si>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</si>
  <si>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</si>
  <si>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</si>
  <si>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2.03.04.11</t>
  </si>
  <si>
    <t>2.03.05</t>
  </si>
  <si>
    <t>2.03.06</t>
  </si>
  <si>
    <t>2.03.07</t>
  </si>
  <si>
    <t>2.03.08</t>
  </si>
  <si>
    <t>2.03.09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</si>
  <si>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</si>
  <si>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</si>
  <si>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</si>
  <si>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</si>
  <si>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</si>
  <si>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</si>
  <si>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</si>
  <si>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</si>
  <si>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</si>
  <si>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3.04.05.02</t>
  </si>
  <si>
    <t>3.04.05.03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</si>
  <si>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</si>
  <si>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</si>
  <si>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</si>
  <si>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</si>
  <si>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</si>
  <si>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</si>
  <si>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</si>
  <si>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</si>
  <si>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</si>
  <si>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</si>
  <si>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</si>
  <si>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</si>
  <si>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</si>
  <si>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</si>
  <si>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</si>
  <si>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</si>
  <si>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</si>
  <si>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</si>
  <si>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</si>
  <si>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</si>
  <si>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</si>
  <si>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6.01</t>
  </si>
  <si>
    <t>6.01.01</t>
  </si>
  <si>
    <t>6.01.01.01</t>
  </si>
  <si>
    <t>6.01.01.02</t>
  </si>
  <si>
    <t>6.01.01.03</t>
  </si>
  <si>
    <t>6.01.01.04</t>
  </si>
  <si>
    <t>6.01.01.05</t>
  </si>
  <si>
    <t>6.01.01.06</t>
  </si>
  <si>
    <t>6.01.01.07</t>
  </si>
  <si>
    <t>6.01.01.08</t>
  </si>
  <si>
    <t>6.01.01.09</t>
  </si>
  <si>
    <t>6.01.01.10</t>
  </si>
  <si>
    <t>6.01.01.11</t>
  </si>
  <si>
    <t>6.01.01.14</t>
  </si>
  <si>
    <t>6.01.02</t>
  </si>
  <si>
    <t>6.01.02.01</t>
  </si>
  <si>
    <t>6.01.02.02</t>
  </si>
  <si>
    <t>6.01.02.03</t>
  </si>
  <si>
    <t>6.01.02.04</t>
  </si>
  <si>
    <t>6.01.02.05</t>
  </si>
  <si>
    <t>6.01.02.06</t>
  </si>
  <si>
    <t>6.01.02.07</t>
  </si>
  <si>
    <t>6.01.02.08</t>
  </si>
  <si>
    <t>6.01.02.09</t>
  </si>
  <si>
    <t>6.01.02.10</t>
  </si>
  <si>
    <t>6.01.02.11</t>
  </si>
  <si>
    <t>6.01.02.12</t>
  </si>
  <si>
    <t>6.01.02.13</t>
  </si>
  <si>
    <t>6.01.02.14</t>
  </si>
  <si>
    <t>6.01.02.15</t>
  </si>
  <si>
    <t>6.01.02.16</t>
  </si>
  <si>
    <t>6.01.02.18</t>
  </si>
  <si>
    <t>6.01.03</t>
  </si>
  <si>
    <t>6.02</t>
  </si>
  <si>
    <t>6.02.01</t>
  </si>
  <si>
    <t>6.02.02</t>
  </si>
  <si>
    <t>6.02.03</t>
  </si>
  <si>
    <t>6.02.04</t>
  </si>
  <si>
    <t>6.02.06</t>
  </si>
  <si>
    <t>6.02.07</t>
  </si>
  <si>
    <t>6.02.08</t>
  </si>
  <si>
    <t>6.02.09</t>
  </si>
  <si>
    <t>6.02.10</t>
  </si>
  <si>
    <t>6.02.11</t>
  </si>
  <si>
    <t>6.03</t>
  </si>
  <si>
    <t>6.03.01</t>
  </si>
  <si>
    <t>6.03.02</t>
  </si>
  <si>
    <t>6.03.03</t>
  </si>
  <si>
    <t>6.03.04</t>
  </si>
  <si>
    <t>6.03.05</t>
  </si>
  <si>
    <t>6.03.06</t>
  </si>
  <si>
    <t>6.03.07</t>
  </si>
  <si>
    <t>6.03.08</t>
  </si>
  <si>
    <t>6.03.09</t>
  </si>
  <si>
    <t>6.03.10</t>
  </si>
  <si>
    <t>6.03.11</t>
  </si>
  <si>
    <t>6.03.12</t>
  </si>
  <si>
    <t>6.03.13</t>
  </si>
  <si>
    <t>6.04</t>
  </si>
  <si>
    <t>6.05</t>
  </si>
  <si>
    <t>6.05.01</t>
  </si>
  <si>
    <t>6.05.02</t>
  </si>
  <si>
    <t>7.01</t>
  </si>
  <si>
    <t>7.01.01</t>
  </si>
  <si>
    <t>7.01.02</t>
  </si>
  <si>
    <t>7.01.03</t>
  </si>
  <si>
    <t>7.01.04</t>
  </si>
  <si>
    <t>7.02</t>
  </si>
  <si>
    <t>7.02.01</t>
  </si>
  <si>
    <t>7.02.02</t>
  </si>
  <si>
    <t>7.02.03</t>
  </si>
  <si>
    <t>7.02.04</t>
  </si>
  <si>
    <t>7.03</t>
  </si>
  <si>
    <t>7.04</t>
  </si>
  <si>
    <t>7.04.01</t>
  </si>
  <si>
    <t>7.04.02</t>
  </si>
  <si>
    <t>7.04.02.01</t>
  </si>
  <si>
    <t>7.05</t>
  </si>
  <si>
    <t>7.06</t>
  </si>
  <si>
    <t>7.06.01</t>
  </si>
  <si>
    <t>7.06.02</t>
  </si>
  <si>
    <t>7.06.03</t>
  </si>
  <si>
    <t>7.07</t>
  </si>
  <si>
    <t>7.08</t>
  </si>
  <si>
    <t>7.08.01</t>
  </si>
  <si>
    <t>7.08.01.01</t>
  </si>
  <si>
    <t>7.08.01.02</t>
  </si>
  <si>
    <t>7.08.01.03</t>
  </si>
  <si>
    <t>7.08.01.04</t>
  </si>
  <si>
    <t>7.08.02</t>
  </si>
  <si>
    <t>7.08.02.01</t>
  </si>
  <si>
    <t>7.08.02.02</t>
  </si>
  <si>
    <t>7.08.02.03</t>
  </si>
  <si>
    <t>7.08.03</t>
  </si>
  <si>
    <t>7.08.03.01</t>
  </si>
  <si>
    <t>7.08.03.02</t>
  </si>
  <si>
    <t>7.08.03.03</t>
  </si>
  <si>
    <t>7.08.04</t>
  </si>
  <si>
    <t>7.08.04.01</t>
  </si>
  <si>
    <t>7.08.04.02</t>
  </si>
  <si>
    <t>7.08.04.03</t>
  </si>
  <si>
    <t>7.08.04.04</t>
  </si>
  <si>
    <t>7.08.05</t>
  </si>
  <si>
    <t>7.08.05.01</t>
  </si>
  <si>
    <t>Liquidez</t>
  </si>
  <si>
    <t>Atividade</t>
  </si>
  <si>
    <t>Capital de Giro</t>
  </si>
  <si>
    <t xml:space="preserve"> </t>
  </si>
  <si>
    <t>Conta</t>
  </si>
  <si>
    <t>Descricao</t>
  </si>
  <si>
    <t>Endividamento</t>
  </si>
  <si>
    <t>20244T</t>
  </si>
  <si>
    <t>Lucro/Prejuízo do Exercício</t>
  </si>
  <si>
    <t>Depreciação e Amortização</t>
  </si>
  <si>
    <t>Imposto de renda e contribuição social diferidos e corrente</t>
  </si>
  <si>
    <t>Juros e variações sobre financiamentos e demais débitos</t>
  </si>
  <si>
    <t>Provisão / Reversão para impairment</t>
  </si>
  <si>
    <t>Constituição de provisão para contingências</t>
  </si>
  <si>
    <t>6.01.01.12</t>
  </si>
  <si>
    <t>Ajuste ao resultado do exercício operações descontinuadas</t>
  </si>
  <si>
    <t>Contas a receber de clientes</t>
  </si>
  <si>
    <t>Demais contas a receber (circulante e não circulante)</t>
  </si>
  <si>
    <t>Salários e encargos trabalhistas</t>
  </si>
  <si>
    <t>Impostos, taxas e contribuições (circulante e não circulante)</t>
  </si>
  <si>
    <t>Adiantamentos recebidos de clientes</t>
  </si>
  <si>
    <t>Demais contas a pagar (circulante e não circulante)</t>
  </si>
  <si>
    <t>Contas a receber/pagar empresas ligadas</t>
  </si>
  <si>
    <t>Liquidação de Juros sobre empréstimos e debêntures</t>
  </si>
  <si>
    <t>Liquidação de Juros sobre Arrendamentos</t>
  </si>
  <si>
    <t>6.01.02.17</t>
  </si>
  <si>
    <t>Investimentos em controladas</t>
  </si>
  <si>
    <t>6.02.05</t>
  </si>
  <si>
    <t>Caixa líquido incorporado / adquirido em combinação de negócios</t>
  </si>
  <si>
    <t>Aumento de capital em coligadas</t>
  </si>
  <si>
    <t>Atividades de investientos das operações descontinuadas</t>
  </si>
  <si>
    <t>Captações de empréstimos, financiamentos e debêntures</t>
  </si>
  <si>
    <t>Liquidações de empréstimos, financiamentos e debêntures</t>
  </si>
  <si>
    <t>Aumento de capital em dinheiro</t>
  </si>
  <si>
    <t>Adiantamento para futuro aumento de capital</t>
  </si>
  <si>
    <t>Debêntures (circulante e não circulante)</t>
  </si>
  <si>
    <t>Ativo</t>
  </si>
  <si>
    <t>Passivo</t>
  </si>
  <si>
    <t>DRE</t>
  </si>
  <si>
    <t>Fluxo de Caixa (FC)</t>
  </si>
  <si>
    <t xml:space="preserve">Giro de Estoque </t>
  </si>
  <si>
    <t>PMPF</t>
  </si>
  <si>
    <t xml:space="preserve">Ciclo Operacional </t>
  </si>
  <si>
    <t xml:space="preserve">Ciclo Financeiro </t>
  </si>
  <si>
    <t xml:space="preserve">Ciclo Econômico </t>
  </si>
  <si>
    <t xml:space="preserve">Capital Circulante Líquido </t>
  </si>
  <si>
    <t xml:space="preserve">Liquidez Corrente </t>
  </si>
  <si>
    <t xml:space="preserve">Liquidez Seca </t>
  </si>
  <si>
    <t>TIPO</t>
  </si>
  <si>
    <t>Receita Operacional Bruta</t>
  </si>
  <si>
    <t xml:space="preserve">Deduções </t>
  </si>
  <si>
    <t>(=) Receita Líquida</t>
  </si>
  <si>
    <t>% Receita Líquida</t>
  </si>
  <si>
    <t>CMV</t>
  </si>
  <si>
    <t>(=) Lucro Bruto</t>
  </si>
  <si>
    <t>% Lucro Bruto</t>
  </si>
  <si>
    <t>Despesas</t>
  </si>
  <si>
    <t>DESPESAS ADMINISTRATIVAS</t>
  </si>
  <si>
    <t>(=) EBITDA</t>
  </si>
  <si>
    <t>% EBITDA</t>
  </si>
  <si>
    <t>(=) EBIT</t>
  </si>
  <si>
    <t>% EBIT</t>
  </si>
  <si>
    <t>% EBT</t>
  </si>
  <si>
    <t>Impostos</t>
  </si>
  <si>
    <t>IRPJ</t>
  </si>
  <si>
    <t>SIMPLES NACIONAL</t>
  </si>
  <si>
    <t>PARCELAMENTO DE IMPOSTO</t>
  </si>
  <si>
    <t>IMPOSTO ESTADUAL</t>
  </si>
  <si>
    <t>IOF</t>
  </si>
  <si>
    <t>CSLL</t>
  </si>
  <si>
    <t>(=) Lucro Líquido</t>
  </si>
  <si>
    <t>% Lucro Líquido</t>
  </si>
  <si>
    <t>20234T</t>
  </si>
  <si>
    <t>IPI</t>
  </si>
  <si>
    <t>Ajuste ao Valor Justo - Combinação de negócios</t>
  </si>
  <si>
    <t>Juros, variações monetárias e cambiais e custo de transação</t>
  </si>
  <si>
    <t>Provisão para impairment</t>
  </si>
  <si>
    <t>Liquidações de empréstimos e financiamentos e debêntures</t>
  </si>
  <si>
    <t>Reversão/ Perda por Impairment</t>
  </si>
  <si>
    <t>R$</t>
  </si>
  <si>
    <t>%</t>
  </si>
  <si>
    <t>Sigla</t>
  </si>
  <si>
    <t>Fórmulas</t>
  </si>
  <si>
    <t>CCL</t>
  </si>
  <si>
    <t>LC</t>
  </si>
  <si>
    <t>LS</t>
  </si>
  <si>
    <t>LA</t>
  </si>
  <si>
    <t>LG</t>
  </si>
  <si>
    <t>Liquidez Geral</t>
  </si>
  <si>
    <t xml:space="preserve">Liquidez Absoluta </t>
  </si>
  <si>
    <t xml:space="preserve"> AC - PC </t>
  </si>
  <si>
    <t xml:space="preserve"> AC/PC</t>
  </si>
  <si>
    <t xml:space="preserve"> (AC - EST - DA) /PC </t>
  </si>
  <si>
    <t>DISPONIVEL /PC</t>
  </si>
  <si>
    <t xml:space="preserve">AC + ARLP / PC +PNC </t>
  </si>
  <si>
    <t>Prazo Médio de Recebimento de Vendas</t>
  </si>
  <si>
    <t>Prazo Médio de Estocagem</t>
  </si>
  <si>
    <t>Prazo Médio de Pagamento de Fornecedores</t>
  </si>
  <si>
    <t>GE</t>
  </si>
  <si>
    <t>PME</t>
  </si>
  <si>
    <t>PMRV</t>
  </si>
  <si>
    <t>CO</t>
  </si>
  <si>
    <t>CF</t>
  </si>
  <si>
    <t>CE</t>
  </si>
  <si>
    <t>ACF</t>
  </si>
  <si>
    <t>ACO</t>
  </si>
  <si>
    <t>PCF</t>
  </si>
  <si>
    <t>PCO</t>
  </si>
  <si>
    <t>ST</t>
  </si>
  <si>
    <t>NCG</t>
  </si>
  <si>
    <t>CGL</t>
  </si>
  <si>
    <t>AC</t>
  </si>
  <si>
    <t>PC</t>
  </si>
  <si>
    <t>(ESTOQUE MÉDIO/CMV)*360</t>
  </si>
  <si>
    <t>360/PME</t>
  </si>
  <si>
    <t>(CLIENTES MÉDIO /RECEITA)*360</t>
  </si>
  <si>
    <t>(FORNECEDORES MÉDIO/COMPRAS)*360</t>
  </si>
  <si>
    <t>PME+PMRV</t>
  </si>
  <si>
    <t>CO-PMPF</t>
  </si>
  <si>
    <t>ESTOQUE FINAL - ESTOQUE INICIAL + CMV</t>
  </si>
  <si>
    <t>ACF + ACO</t>
  </si>
  <si>
    <t>PCF + PCO</t>
  </si>
  <si>
    <t xml:space="preserve">Passivo Circulante Financeiro </t>
  </si>
  <si>
    <t xml:space="preserve">Passivo Circulante Operacional </t>
  </si>
  <si>
    <t xml:space="preserve">Ativo Circulante Operacional </t>
  </si>
  <si>
    <t xml:space="preserve">Ativo Circulante Financeiro </t>
  </si>
  <si>
    <t xml:space="preserve">Capital de Giro Líquido </t>
  </si>
  <si>
    <t xml:space="preserve">Necessidade de Capital de Giro </t>
  </si>
  <si>
    <t xml:space="preserve">Saldo em Tesouraria </t>
  </si>
  <si>
    <t>Passivo Oneroso</t>
  </si>
  <si>
    <t>Dívida Líquida</t>
  </si>
  <si>
    <t>Investimento</t>
  </si>
  <si>
    <t>Capital Oneroso</t>
  </si>
  <si>
    <t xml:space="preserve">Relação dívida Líquida - PL </t>
  </si>
  <si>
    <t>Relação divida líquida e CO</t>
  </si>
  <si>
    <t>RCPT</t>
  </si>
  <si>
    <t>EG</t>
  </si>
  <si>
    <t>SG</t>
  </si>
  <si>
    <t>IPL</t>
  </si>
  <si>
    <t>PO</t>
  </si>
  <si>
    <t>DL</t>
  </si>
  <si>
    <t>INV</t>
  </si>
  <si>
    <t>PASSIVO/PL</t>
  </si>
  <si>
    <t>PASSIVO/PASSIVO+PL</t>
  </si>
  <si>
    <t>ATIVO TOTAL/PASSIVO</t>
  </si>
  <si>
    <t>PC/PASSIVO</t>
  </si>
  <si>
    <t xml:space="preserve">ATIVOS FIXOS(3is)/PL </t>
  </si>
  <si>
    <t xml:space="preserve">PASSIVOS QUE GERAM DESPESAS FINANCEIRAS </t>
  </si>
  <si>
    <t xml:space="preserve">PO - (DISPONÍVEL + AP. FINANCEIRA) </t>
  </si>
  <si>
    <t xml:space="preserve">PO + PL </t>
  </si>
  <si>
    <t xml:space="preserve">DÍVIDA LÍQUIDA + PL </t>
  </si>
  <si>
    <t>DL/PL</t>
  </si>
  <si>
    <t xml:space="preserve">DÍVIDA LÍQUIDA /dívida líquida +  PL </t>
  </si>
  <si>
    <t xml:space="preserve">CDG = AC - PC </t>
  </si>
  <si>
    <t>ST = ACF - PCF</t>
  </si>
  <si>
    <t xml:space="preserve">NCG = ACO - PCO </t>
  </si>
  <si>
    <t>-</t>
  </si>
  <si>
    <t>Percentual da Dívida no Investimento</t>
  </si>
  <si>
    <t>Percentual da Equity no Investimento</t>
  </si>
  <si>
    <t>Despesa Financeira Líquida</t>
  </si>
  <si>
    <t>Benefício Tributário da Dívida</t>
  </si>
  <si>
    <t>Aliquota Efetiva IR/CSLL</t>
  </si>
  <si>
    <t>Custo da Dívida</t>
  </si>
  <si>
    <t>Custo Médio Ponderado de Capital</t>
  </si>
  <si>
    <t>Wi</t>
  </si>
  <si>
    <t xml:space="preserve">PO/Investimento </t>
  </si>
  <si>
    <t>We</t>
  </si>
  <si>
    <t xml:space="preserve">PL/Investimento </t>
  </si>
  <si>
    <t>DFL</t>
  </si>
  <si>
    <t xml:space="preserve">DF - BENEFÍCIO TRIBUTÁRIO </t>
  </si>
  <si>
    <t>BT</t>
  </si>
  <si>
    <t>DESPESA FINANCEIRA X ALÍQUOTA IR/CSLL</t>
  </si>
  <si>
    <t>% IR</t>
  </si>
  <si>
    <t xml:space="preserve">PROVISÃO IR/CSLL / LAIR </t>
  </si>
  <si>
    <t>Ki</t>
  </si>
  <si>
    <t>Despesa financeira / PO</t>
  </si>
  <si>
    <t>CMPC</t>
  </si>
  <si>
    <t>Wi x Ki + We x Ke</t>
  </si>
  <si>
    <t>Custo do Capital</t>
  </si>
  <si>
    <t>Lucratividade e Rentabilidade</t>
  </si>
  <si>
    <t>Margem Bruta</t>
  </si>
  <si>
    <t>MB</t>
  </si>
  <si>
    <t>LUCRO BRUTO/RECEITA LÍQUIDA</t>
  </si>
  <si>
    <t xml:space="preserve">EBITDA </t>
  </si>
  <si>
    <t xml:space="preserve">Margem EBITDA </t>
  </si>
  <si>
    <t xml:space="preserve">% EBITDA </t>
  </si>
  <si>
    <t>EBITDA/RECEITA LÍQUIDA</t>
  </si>
  <si>
    <t xml:space="preserve">EBIT </t>
  </si>
  <si>
    <t>LUCRO OPERACIONAL</t>
  </si>
  <si>
    <t xml:space="preserve">Margem EBIT </t>
  </si>
  <si>
    <t xml:space="preserve">% EBIT </t>
  </si>
  <si>
    <t>EBIT/RECEITA LÍQUIDA</t>
  </si>
  <si>
    <t xml:space="preserve">NOPAT </t>
  </si>
  <si>
    <t>LUCRO OPERACIONAL - IR/CSLL</t>
  </si>
  <si>
    <t xml:space="preserve">Margem NOPAT </t>
  </si>
  <si>
    <t xml:space="preserve">% NOPAT </t>
  </si>
  <si>
    <t>NOPAT/RECEITA LÍQUIDA</t>
  </si>
  <si>
    <t>Margem Líquida</t>
  </si>
  <si>
    <t>ML</t>
  </si>
  <si>
    <t>LUCRO LÍQUIDO/RECEITA LÍQUIDA</t>
  </si>
  <si>
    <t>Retorno sobre o Investimento</t>
  </si>
  <si>
    <t xml:space="preserve">ROI </t>
  </si>
  <si>
    <t xml:space="preserve">NOPAT/INVESTIMENTO </t>
  </si>
  <si>
    <t>Retorno sobre o Equity (PL)</t>
  </si>
  <si>
    <t>ROE</t>
  </si>
  <si>
    <t xml:space="preserve">LUCRO LÍQUIDO / PL </t>
  </si>
  <si>
    <t>Grau de Alavancagem Financeira</t>
  </si>
  <si>
    <t>GAF</t>
  </si>
  <si>
    <t xml:space="preserve">ROE/ROI </t>
  </si>
  <si>
    <t xml:space="preserve">Valor Econômico Adicionado </t>
  </si>
  <si>
    <t>EVA</t>
  </si>
  <si>
    <t>(ROI - CMPC) x Investimento</t>
  </si>
  <si>
    <t>ROI Residual</t>
  </si>
  <si>
    <t>RROI</t>
  </si>
  <si>
    <t xml:space="preserve">ROI - CMPC </t>
  </si>
  <si>
    <t xml:space="preserve">EVA/CMPC </t>
  </si>
  <si>
    <t>Indicadores de Múltiplos</t>
  </si>
  <si>
    <t>Valor Agregado</t>
  </si>
  <si>
    <t>Nº de ações</t>
  </si>
  <si>
    <t>Achar no site do RI da empresa</t>
  </si>
  <si>
    <t>Valor Patrimonial das Ações</t>
  </si>
  <si>
    <t>VPA</t>
  </si>
  <si>
    <t xml:space="preserve">PL / Número de Ações </t>
  </si>
  <si>
    <t xml:space="preserve">Preço Atual da ação </t>
  </si>
  <si>
    <t xml:space="preserve">Preço </t>
  </si>
  <si>
    <t>Achar em sites tipos Investidor 10, Suno etc</t>
  </si>
  <si>
    <t>Indicador Preço/Valor Patrimonial</t>
  </si>
  <si>
    <t>P/VP</t>
  </si>
  <si>
    <t>Preço/VPA</t>
  </si>
  <si>
    <t xml:space="preserve">Price to book </t>
  </si>
  <si>
    <t>Market cap/PL</t>
  </si>
  <si>
    <t>Lucro por Ação</t>
  </si>
  <si>
    <t>LPA</t>
  </si>
  <si>
    <t xml:space="preserve">Lucro líquido/ Nº de ações </t>
  </si>
  <si>
    <t>Indicador Preço/Lucro</t>
  </si>
  <si>
    <t xml:space="preserve">P/L </t>
  </si>
  <si>
    <t>Valor da ação/LPA</t>
  </si>
  <si>
    <t>Capitalização da Empresa</t>
  </si>
  <si>
    <t xml:space="preserve">Market cap </t>
  </si>
  <si>
    <t>Número de ações x preço da ação</t>
  </si>
  <si>
    <t>Dividendos Totais Pagos</t>
  </si>
  <si>
    <t>DTP</t>
  </si>
  <si>
    <t xml:space="preserve">Ver na DFC </t>
  </si>
  <si>
    <t>Dividendos por Ação</t>
  </si>
  <si>
    <t>DPA</t>
  </si>
  <si>
    <t xml:space="preserve">Dividendos/Nº de ações </t>
  </si>
  <si>
    <t>Dividend Yield</t>
  </si>
  <si>
    <t>DY</t>
  </si>
  <si>
    <t xml:space="preserve">DPA/preço atual da ação </t>
  </si>
  <si>
    <t>Payout</t>
  </si>
  <si>
    <t>DPA/LPA</t>
  </si>
  <si>
    <t>Ganho de Capital com ações</t>
  </si>
  <si>
    <t>Δ Preço</t>
  </si>
  <si>
    <t>Preço atual da ação - Preço que eu paguei pela ação (Δ Início e fim de 2025)</t>
  </si>
  <si>
    <t>Retorno com Ganhos de Capital</t>
  </si>
  <si>
    <t>Δ Preço / Preço que eu paguei pela ação (Preço início de 2024)</t>
  </si>
  <si>
    <t>Taxa de Retorno Total da Ação</t>
  </si>
  <si>
    <t>TRA</t>
  </si>
  <si>
    <t>(DPA+ Δ Preço)/Preço que eu paguei pela ação (Preço início de 2024)</t>
  </si>
  <si>
    <t>Entrerprise Value (Valor da Firma)</t>
  </si>
  <si>
    <t>EV</t>
  </si>
  <si>
    <t>Market cap + Dívida Líquida</t>
  </si>
  <si>
    <t>EV/Ebitda</t>
  </si>
  <si>
    <t>EV/Receita</t>
  </si>
  <si>
    <t>Earning Yield</t>
  </si>
  <si>
    <t>EY</t>
  </si>
  <si>
    <t>Ebitda/EV</t>
  </si>
  <si>
    <t>LUCRO OPERACIONAL + DESPESAS  D&amp;A</t>
  </si>
  <si>
    <t xml:space="preserve">Unidade </t>
  </si>
  <si>
    <t xml:space="preserve">(=) EBT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</si>
</sst>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_);\(#,##0\)"/>
    <numFmt numFmtId="165" formatCode="#,##0.00_);\(#,##0.00\)"/>
    <numFmt numFmtId="166" formatCode="_(* #,##0_);_(* \(#,##0\);_(* &quot;-&quot;??_);_(@_)"/>
    <numFmt numFmtId="167" formatCode="&quot;Ano &quot;#"/>
    <numFmt numFmtId="168" formatCode="General&quot;E&quot;"/>
    <numFmt numFmtId="169" formatCode="0.0%"/>
    <numFmt numFmtId="170" formatCode="\R&quot;R$&quot;\ #,##0.00"/>
    <numFmt numFmtId="171" formatCode="0.0&quot; dias&quot;"/>
    <numFmt numFmtId="172" formatCode="\R&quot;R$&quot;\ #,##0.0000"/>
  </numFmts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Roboto"/>
    </font>
    <font>
      <sz val="11"/>
      <color theme="1"/>
      <name val="Roboto"/>
    </font>
    <font>
      <sz val="11"/>
      <name val="Roboto"/>
    </font>
    <font>
      <sz val="9"/>
      <color theme="2" tint="-0.499984740745262"/>
      <name val="Roboto"/>
    </font>
    <font>
      <sz val="12"/>
      <color theme="1"/>
      <name val="Aptos Narrow"/>
      <family val="2"/>
      <scheme val="minor"/>
    </font>
    <font>
      <sz val="10"/>
      <color rgb="FF000000"/>
      <name val="Roboto"/>
    </font>
    <font>
      <sz val="10"/>
      <color theme="0"/>
      <name val="Roboto"/>
    </font>
    <font>
      <b/>
      <sz val="12"/>
      <color theme="0"/>
      <name val="Roboto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0"/>
      <name val="Roboto"/>
    </font>
    <font>
      <sz val="11"/>
      <color theme="1"/>
      <name val="Aptos Narrow"/>
      <family val="2"/>
      <scheme val="minor"/>
    </font>
    <font>
      <sz val="10"/>
      <color theme="1"/>
      <name val="Roboto"/>
    </font>
    <font>
      <i/>
      <sz val="10"/>
      <color theme="0"/>
      <name val="Roboto"/>
    </font>
    <font>
      <b/>
      <sz val="10"/>
      <color theme="0"/>
      <name val="Roboto"/>
    </font>
    <font>
      <b/>
      <sz val="10"/>
      <color theme="1"/>
      <name val="Roboto"/>
    </font>
    <font>
      <b/>
      <sz val="10"/>
      <color rgb="FF000000"/>
      <name val="Roboto"/>
    </font>
    <font>
      <i/>
      <sz val="10"/>
      <color rgb="FF000000"/>
      <name val="Roboto"/>
    </font>
    <font>
      <sz val="10"/>
      <color theme="2" tint="-0.499984740745262"/>
      <name val="Roboto"/>
    </font>
    <font>
      <b/>
      <sz val="11"/>
      <name val="Roboto"/>
    </font>
    <font>
      <sz val="11"/>
      <color rgb="FF0000FF"/>
      <name val="Roboto"/>
    </font>
    <font>
      <i/>
      <sz val="11"/>
      <color rgb="FF666666"/>
      <name val="Roboto"/>
    </font>
  </fonts>
  <fills count="8">
    <fill>
      <patternFill patternType="none"/>
    </fill>
    <fill>
      <patternFill patternType="gray125"/>
    </fill>
    <fill>
      <patternFill patternType="solid">
        <fgColor rgb="FFFF0037"/>
        <bgColor indexed="64"/>
      </patternFill>
    </fill>
    <fill>
      <patternFill patternType="solid">
        <fgColor rgb="FFB8081A"/>
        <bgColor indexed="64"/>
      </patternFill>
    </fill>
    <fill>
      <gradientFill degree="90">
        <stop position="0">
          <color rgb="FFFF0037"/>
        </stop>
        <stop position="1">
          <color rgb="FF9A0F1D"/>
        </stop>
      </gradient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6" fillId="0" borderId="0"/>
    <xf numFmtId="0" fontId="13" fillId="0" borderId="0"/>
  </cellStyleXfs>
  <cellXfs count="140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indent="4"/>
    </xf>
    <xf numFmtId="0" fontId="3" fillId="0" borderId="0" xfId="0" applyFont="1"/>
    <xf numFmtId="164" fontId="7" fillId="0" borderId="1" xfId="1" applyNumberFormat="1" applyFont="1" applyFill="1" applyBorder="1" applyAlignment="1">
      <alignment horizontal="right" vertical="center"/>
    </xf>
    <xf numFmtId="164" fontId="8" fillId="0" borderId="1" xfId="1" applyNumberFormat="1" applyFont="1" applyFill="1" applyBorder="1" applyAlignment="1">
      <alignment horizontal="right" vertical="center"/>
    </xf>
    <xf numFmtId="164" fontId="3" fillId="0" borderId="0" xfId="0" applyNumberFormat="1" applyFont="1"/>
    <xf numFmtId="164" fontId="7" fillId="0" borderId="0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4"/>
    </xf>
    <xf numFmtId="0" fontId="3" fillId="0" borderId="0" xfId="0" applyFont="1" applyAlignment="1">
      <alignment horizontal="left" indent="6"/>
    </xf>
    <xf numFmtId="0" fontId="3" fillId="0" borderId="0" xfId="0" applyFont="1" applyAlignment="1">
      <alignment horizontal="left" indent="8"/>
    </xf>
    <xf numFmtId="0" fontId="10" fillId="0" borderId="0" xfId="0" applyFont="1"/>
    <xf numFmtId="0" fontId="1" fillId="0" borderId="0" xfId="0" applyFont="1" applyAlignment="1">
      <alignment horizontal="left" indent="2"/>
    </xf>
    <xf numFmtId="0" fontId="11" fillId="0" borderId="0" xfId="0" applyFont="1" applyAlignment="1">
      <alignment horizontal="left" indent="6"/>
    </xf>
    <xf numFmtId="0" fontId="11" fillId="0" borderId="0" xfId="0" applyFont="1" applyAlignment="1">
      <alignment horizontal="left" indent="8"/>
    </xf>
    <xf numFmtId="0" fontId="3" fillId="0" borderId="0" xfId="0" applyFont="1" applyAlignment="1">
      <alignment horizontal="left" indent="3"/>
    </xf>
    <xf numFmtId="0" fontId="4" fillId="0" borderId="0" xfId="0" applyFont="1" applyAlignment="1">
      <alignment horizontal="left" indent="5"/>
    </xf>
    <xf numFmtId="0" fontId="5" fillId="0" borderId="0" xfId="0" applyFont="1" applyAlignment="1">
      <alignment horizontal="left" indent="3"/>
    </xf>
    <xf numFmtId="0" fontId="3" fillId="0" borderId="0" xfId="0" applyFont="1" applyAlignment="1">
      <alignment horizontal="left" indent="5"/>
    </xf>
    <xf numFmtId="0" fontId="4" fillId="0" borderId="0" xfId="0" applyFont="1" applyAlignment="1">
      <alignment horizontal="left" indent="6"/>
    </xf>
    <xf numFmtId="165" fontId="3" fillId="0" borderId="0" xfId="0" applyNumberFormat="1" applyFont="1"/>
    <xf numFmtId="0" fontId="3" fillId="2" borderId="0" xfId="0" applyFont="1" applyFill="1" applyAlignment="1">
      <alignment horizontal="left" indent="3"/>
    </xf>
    <xf numFmtId="0" fontId="3" fillId="2" borderId="0" xfId="0" applyFont="1" applyFill="1"/>
    <xf numFmtId="164" fontId="3" fillId="2" borderId="0" xfId="0" applyNumberFormat="1" applyFont="1" applyFill="1"/>
    <xf numFmtId="0" fontId="2" fillId="4" borderId="0" xfId="0" applyFont="1" applyFill="1"/>
    <xf numFmtId="0" fontId="9" fillId="4" borderId="0" xfId="0" applyFont="1" applyFill="1"/>
    <xf numFmtId="0" fontId="12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3" borderId="0" xfId="0" applyFont="1" applyFill="1"/>
    <xf numFmtId="0" fontId="14" fillId="5" borderId="0" xfId="0" applyFont="1" applyFill="1"/>
    <xf numFmtId="0" fontId="15" fillId="5" borderId="0" xfId="0" applyFont="1" applyFill="1"/>
    <xf numFmtId="0" fontId="14" fillId="5" borderId="0" xfId="0" applyFont="1" applyFill="1" applyAlignment="1">
      <alignment horizontal="center"/>
    </xf>
    <xf numFmtId="0" fontId="16" fillId="5" borderId="0" xfId="0" applyFont="1" applyFill="1"/>
    <xf numFmtId="0" fontId="14" fillId="0" borderId="0" xfId="0" applyFont="1"/>
    <xf numFmtId="0" fontId="14" fillId="0" borderId="0" xfId="0" applyFont="1" applyAlignment="1">
      <alignment horizontal="center"/>
    </xf>
    <xf numFmtId="0" fontId="11" fillId="0" borderId="0" xfId="0" applyFont="1"/>
    <xf numFmtId="167" fontId="17" fillId="0" borderId="0" xfId="0" applyNumberFormat="1" applyFont="1" applyAlignment="1">
      <alignment horizontal="center"/>
    </xf>
    <xf numFmtId="168" fontId="17" fillId="5" borderId="0" xfId="0" applyNumberFormat="1" applyFont="1" applyFill="1" applyAlignment="1">
      <alignment horizontal="center"/>
    </xf>
    <xf numFmtId="0" fontId="8" fillId="5" borderId="0" xfId="0" applyFont="1" applyFill="1"/>
    <xf numFmtId="0" fontId="8" fillId="6" borderId="0" xfId="0" applyFont="1" applyFill="1"/>
    <xf numFmtId="0" fontId="8" fillId="6" borderId="0" xfId="0" applyFont="1" applyFill="1" applyAlignment="1">
      <alignment horizontal="center"/>
    </xf>
    <xf numFmtId="166" fontId="14" fillId="0" borderId="0" xfId="0" applyNumberFormat="1" applyFont="1" applyAlignment="1">
      <alignment horizontal="center"/>
    </xf>
    <xf numFmtId="44" fontId="14" fillId="5" borderId="0" xfId="2" applyFont="1" applyFill="1"/>
    <xf numFmtId="44" fontId="14" fillId="0" borderId="0" xfId="2" applyFont="1"/>
    <xf numFmtId="44" fontId="17" fillId="7" borderId="1" xfId="2" applyFont="1" applyFill="1" applyBorder="1" applyAlignment="1">
      <alignment horizontal="left" vertical="center"/>
    </xf>
    <xf numFmtId="164" fontId="17" fillId="7" borderId="1" xfId="2" applyNumberFormat="1" applyFont="1" applyFill="1" applyBorder="1" applyAlignment="1">
      <alignment horizontal="center" vertical="center"/>
    </xf>
    <xf numFmtId="44" fontId="14" fillId="7" borderId="1" xfId="2" applyFont="1" applyFill="1" applyBorder="1" applyAlignment="1">
      <alignment horizontal="left" vertical="center"/>
    </xf>
    <xf numFmtId="0" fontId="7" fillId="5" borderId="0" xfId="4" applyFont="1" applyFill="1"/>
    <xf numFmtId="0" fontId="7" fillId="0" borderId="0" xfId="4" applyFont="1"/>
    <xf numFmtId="0" fontId="7" fillId="0" borderId="0" xfId="5" applyFont="1" applyAlignment="1">
      <alignment horizontal="left" vertical="center"/>
    </xf>
    <xf numFmtId="166" fontId="7" fillId="0" borderId="0" xfId="1" applyNumberFormat="1" applyFont="1" applyFill="1" applyBorder="1" applyAlignment="1">
      <alignment horizontal="center" vertical="center"/>
    </xf>
    <xf numFmtId="0" fontId="18" fillId="0" borderId="1" xfId="5" applyFont="1" applyBorder="1" applyAlignment="1">
      <alignment horizontal="left" vertical="center"/>
    </xf>
    <xf numFmtId="164" fontId="7" fillId="0" borderId="1" xfId="1" applyNumberFormat="1" applyFont="1" applyBorder="1" applyAlignment="1">
      <alignment horizontal="center" vertical="center"/>
    </xf>
    <xf numFmtId="10" fontId="14" fillId="5" borderId="0" xfId="3" applyNumberFormat="1" applyFont="1" applyFill="1"/>
    <xf numFmtId="10" fontId="14" fillId="0" borderId="0" xfId="3" applyNumberFormat="1" applyFont="1"/>
    <xf numFmtId="10" fontId="14" fillId="0" borderId="0" xfId="3" applyNumberFormat="1" applyFont="1" applyAlignment="1">
      <alignment horizontal="center"/>
    </xf>
    <xf numFmtId="0" fontId="8" fillId="5" borderId="3" xfId="4" applyFont="1" applyFill="1" applyBorder="1"/>
    <xf numFmtId="0" fontId="8" fillId="5" borderId="3" xfId="0" applyFont="1" applyFill="1" applyBorder="1"/>
    <xf numFmtId="0" fontId="16" fillId="0" borderId="3" xfId="5" applyFont="1" applyBorder="1" applyAlignment="1">
      <alignment horizontal="left" vertical="center"/>
    </xf>
    <xf numFmtId="166" fontId="16" fillId="0" borderId="3" xfId="5" applyNumberFormat="1" applyFont="1" applyBorder="1" applyAlignment="1">
      <alignment horizontal="left"/>
    </xf>
    <xf numFmtId="0" fontId="8" fillId="0" borderId="3" xfId="4" applyFont="1" applyBorder="1"/>
    <xf numFmtId="166" fontId="14" fillId="5" borderId="3" xfId="0" applyNumberFormat="1" applyFont="1" applyFill="1" applyBorder="1" applyAlignment="1">
      <alignment horizontal="left"/>
    </xf>
    <xf numFmtId="166" fontId="18" fillId="0" borderId="0" xfId="1" applyNumberFormat="1" applyFont="1" applyFill="1" applyBorder="1" applyAlignment="1">
      <alignment horizontal="center" vertical="center"/>
    </xf>
    <xf numFmtId="44" fontId="7" fillId="5" borderId="0" xfId="2" applyFont="1" applyFill="1" applyBorder="1"/>
    <xf numFmtId="44" fontId="14" fillId="5" borderId="0" xfId="2" applyFont="1" applyFill="1" applyBorder="1"/>
    <xf numFmtId="44" fontId="18" fillId="7" borderId="1" xfId="2" applyFont="1" applyFill="1" applyBorder="1" applyAlignment="1">
      <alignment horizontal="left" vertical="center"/>
    </xf>
    <xf numFmtId="164" fontId="18" fillId="7" borderId="1" xfId="2" applyNumberFormat="1" applyFont="1" applyFill="1" applyBorder="1" applyAlignment="1">
      <alignment horizontal="center" vertical="center"/>
    </xf>
    <xf numFmtId="44" fontId="7" fillId="0" borderId="0" xfId="2" applyFont="1"/>
    <xf numFmtId="10" fontId="7" fillId="0" borderId="2" xfId="3" applyNumberFormat="1" applyFont="1" applyBorder="1"/>
    <xf numFmtId="10" fontId="7" fillId="5" borderId="0" xfId="3" applyNumberFormat="1" applyFont="1" applyFill="1"/>
    <xf numFmtId="10" fontId="19" fillId="7" borderId="0" xfId="3" applyNumberFormat="1" applyFont="1" applyFill="1" applyAlignment="1">
      <alignment horizontal="left" vertical="center"/>
    </xf>
    <xf numFmtId="10" fontId="19" fillId="7" borderId="0" xfId="3" applyNumberFormat="1" applyFont="1" applyFill="1" applyBorder="1" applyAlignment="1">
      <alignment horizontal="center" vertical="center"/>
    </xf>
    <xf numFmtId="10" fontId="7" fillId="0" borderId="0" xfId="3" applyNumberFormat="1" applyFont="1"/>
    <xf numFmtId="164" fontId="7" fillId="0" borderId="1" xfId="1" applyNumberFormat="1" applyFont="1" applyFill="1" applyBorder="1" applyAlignment="1">
      <alignment horizontal="center" vertical="center"/>
    </xf>
    <xf numFmtId="164" fontId="18" fillId="7" borderId="1" xfId="5" applyNumberFormat="1" applyFont="1" applyFill="1" applyBorder="1" applyAlignment="1">
      <alignment horizontal="left" vertical="center"/>
    </xf>
    <xf numFmtId="164" fontId="18" fillId="7" borderId="1" xfId="1" applyNumberFormat="1" applyFont="1" applyFill="1" applyBorder="1" applyAlignment="1">
      <alignment horizontal="center" vertical="center"/>
    </xf>
    <xf numFmtId="164" fontId="18" fillId="0" borderId="1" xfId="1" applyNumberFormat="1" applyFont="1" applyFill="1" applyBorder="1" applyAlignment="1">
      <alignment horizontal="center" vertical="center"/>
    </xf>
    <xf numFmtId="44" fontId="7" fillId="0" borderId="1" xfId="5" applyNumberFormat="1" applyFont="1" applyBorder="1" applyAlignment="1">
      <alignment horizontal="left" vertical="center"/>
    </xf>
    <xf numFmtId="10" fontId="7" fillId="5" borderId="0" xfId="3" applyNumberFormat="1" applyFont="1" applyFill="1" applyAlignment="1">
      <alignment horizontal="right"/>
    </xf>
    <xf numFmtId="10" fontId="14" fillId="0" borderId="0" xfId="3" applyNumberFormat="1" applyFont="1" applyAlignment="1">
      <alignment horizontal="right"/>
    </xf>
    <xf numFmtId="10" fontId="18" fillId="0" borderId="0" xfId="3" applyNumberFormat="1" applyFont="1" applyAlignment="1">
      <alignment horizontal="right" vertical="center"/>
    </xf>
    <xf numFmtId="10" fontId="7" fillId="0" borderId="0" xfId="3" applyNumberFormat="1" applyFont="1" applyFill="1" applyBorder="1" applyAlignment="1">
      <alignment horizontal="center" vertical="center"/>
    </xf>
    <xf numFmtId="10" fontId="7" fillId="0" borderId="0" xfId="3" applyNumberFormat="1" applyFont="1" applyAlignment="1">
      <alignment horizontal="right" vertical="center"/>
    </xf>
    <xf numFmtId="10" fontId="7" fillId="0" borderId="0" xfId="3" applyNumberFormat="1" applyFont="1" applyAlignment="1">
      <alignment horizontal="right"/>
    </xf>
    <xf numFmtId="0" fontId="8" fillId="0" borderId="3" xfId="0" applyFont="1" applyBorder="1"/>
    <xf numFmtId="44" fontId="8" fillId="0" borderId="3" xfId="5" applyNumberFormat="1" applyFont="1" applyBorder="1" applyAlignment="1">
      <alignment horizontal="left" vertical="center"/>
    </xf>
    <xf numFmtId="44" fontId="7" fillId="5" borderId="0" xfId="2" applyFont="1" applyFill="1" applyBorder="1" applyAlignment="1"/>
    <xf numFmtId="44" fontId="14" fillId="0" borderId="0" xfId="2" applyFont="1" applyBorder="1" applyAlignment="1"/>
    <xf numFmtId="44" fontId="7" fillId="0" borderId="3" xfId="2" applyFont="1" applyBorder="1" applyAlignment="1">
      <alignment horizontal="left" indent="1"/>
    </xf>
    <xf numFmtId="44" fontId="7" fillId="0" borderId="3" xfId="2" applyFont="1" applyBorder="1" applyAlignment="1"/>
    <xf numFmtId="44" fontId="14" fillId="0" borderId="3" xfId="2" applyFont="1" applyBorder="1" applyAlignment="1"/>
    <xf numFmtId="10" fontId="19" fillId="7" borderId="0" xfId="3" applyNumberFormat="1" applyFont="1" applyFill="1" applyAlignment="1">
      <alignment horizontal="center" vertical="center"/>
    </xf>
    <xf numFmtId="44" fontId="7" fillId="5" borderId="0" xfId="2" applyFont="1" applyFill="1"/>
    <xf numFmtId="44" fontId="18" fillId="0" borderId="1" xfId="2" applyFont="1" applyBorder="1" applyAlignment="1">
      <alignment horizontal="left" vertical="center"/>
    </xf>
    <xf numFmtId="164" fontId="7" fillId="0" borderId="1" xfId="2" applyNumberFormat="1" applyFont="1" applyFill="1" applyBorder="1" applyAlignment="1">
      <alignment horizontal="center" vertical="center"/>
    </xf>
    <xf numFmtId="10" fontId="7" fillId="0" borderId="0" xfId="3" applyNumberFormat="1" applyFont="1" applyAlignment="1">
      <alignment horizontal="center" vertical="center"/>
    </xf>
    <xf numFmtId="10" fontId="18" fillId="0" borderId="0" xfId="3" applyNumberFormat="1" applyFont="1" applyAlignment="1">
      <alignment horizontal="left" vertical="center"/>
    </xf>
    <xf numFmtId="166" fontId="14" fillId="0" borderId="0" xfId="1" applyNumberFormat="1" applyFont="1" applyFill="1" applyBorder="1" applyAlignment="1">
      <alignment horizontal="center" vertical="center"/>
    </xf>
    <xf numFmtId="0" fontId="18" fillId="0" borderId="0" xfId="5" applyFont="1" applyAlignment="1">
      <alignment horizontal="left" vertical="center"/>
    </xf>
    <xf numFmtId="10" fontId="7" fillId="0" borderId="4" xfId="3" applyNumberFormat="1" applyFont="1" applyFill="1" applyBorder="1" applyAlignment="1">
      <alignment horizontal="center" vertical="center"/>
    </xf>
    <xf numFmtId="0" fontId="16" fillId="5" borderId="3" xfId="5" applyFont="1" applyFill="1" applyBorder="1" applyAlignment="1">
      <alignment horizontal="left" vertical="center"/>
    </xf>
    <xf numFmtId="44" fontId="14" fillId="0" borderId="3" xfId="2" applyFont="1" applyBorder="1" applyAlignment="1">
      <alignment horizontal="left" indent="2"/>
    </xf>
    <xf numFmtId="44" fontId="14" fillId="0" borderId="0" xfId="2" applyFont="1" applyFill="1" applyBorder="1" applyAlignment="1">
      <alignment horizontal="center" vertical="center"/>
    </xf>
    <xf numFmtId="44" fontId="7" fillId="0" borderId="3" xfId="2" applyFont="1" applyBorder="1"/>
    <xf numFmtId="44" fontId="14" fillId="0" borderId="2" xfId="2" applyFont="1" applyBorder="1" applyAlignment="1">
      <alignment horizontal="left" indent="2"/>
    </xf>
    <xf numFmtId="44" fontId="14" fillId="0" borderId="2" xfId="2" applyFont="1" applyFill="1" applyBorder="1" applyAlignment="1">
      <alignment horizontal="center" vertical="center"/>
    </xf>
    <xf numFmtId="44" fontId="7" fillId="0" borderId="2" xfId="2" applyFont="1" applyBorder="1"/>
    <xf numFmtId="164" fontId="7" fillId="7" borderId="1" xfId="5" applyNumberFormat="1" applyFont="1" applyFill="1" applyBorder="1" applyAlignment="1">
      <alignment horizontal="left" vertical="center"/>
    </xf>
    <xf numFmtId="0" fontId="18" fillId="0" borderId="0" xfId="5" applyFont="1" applyAlignment="1">
      <alignment horizontal="center"/>
    </xf>
    <xf numFmtId="0" fontId="0" fillId="5" borderId="0" xfId="0" applyFill="1" applyAlignment="1">
      <alignment horizontal="left" indent="2"/>
    </xf>
    <xf numFmtId="10" fontId="16" fillId="5" borderId="3" xfId="5" applyNumberFormat="1" applyFont="1" applyFill="1" applyBorder="1" applyAlignment="1">
      <alignment horizontal="center"/>
    </xf>
    <xf numFmtId="3" fontId="18" fillId="0" borderId="1" xfId="1" applyNumberFormat="1" applyFont="1" applyFill="1" applyBorder="1" applyAlignment="1">
      <alignment horizontal="center" vertical="center"/>
    </xf>
    <xf numFmtId="3" fontId="18" fillId="0" borderId="1" xfId="5" applyNumberFormat="1" applyFont="1" applyBorder="1" applyAlignment="1">
      <alignment horizontal="center" vertical="center"/>
    </xf>
    <xf numFmtId="3" fontId="18" fillId="0" borderId="0" xfId="5" applyNumberFormat="1" applyFont="1" applyAlignment="1">
      <alignment horizontal="center" vertical="center"/>
    </xf>
    <xf numFmtId="0" fontId="7" fillId="0" borderId="0" xfId="5" applyFont="1" applyAlignment="1">
      <alignment vertical="center"/>
    </xf>
    <xf numFmtId="0" fontId="18" fillId="0" borderId="1" xfId="5" applyFont="1" applyBorder="1" applyAlignment="1">
      <alignment vertical="center"/>
    </xf>
    <xf numFmtId="44" fontId="18" fillId="7" borderId="1" xfId="2" applyFont="1" applyFill="1" applyBorder="1" applyAlignment="1">
      <alignment vertical="center"/>
    </xf>
    <xf numFmtId="10" fontId="19" fillId="7" borderId="0" xfId="3" applyNumberFormat="1" applyFont="1" applyFill="1" applyAlignment="1">
      <alignment vertical="center"/>
    </xf>
    <xf numFmtId="10" fontId="14" fillId="0" borderId="0" xfId="3" applyNumberFormat="1" applyFont="1" applyAlignment="1"/>
    <xf numFmtId="164" fontId="18" fillId="7" borderId="1" xfId="5" applyNumberFormat="1" applyFont="1" applyFill="1" applyBorder="1" applyAlignment="1">
      <alignment vertical="center"/>
    </xf>
    <xf numFmtId="10" fontId="18" fillId="0" borderId="0" xfId="3" applyNumberFormat="1" applyFont="1" applyAlignment="1">
      <alignment vertical="center"/>
    </xf>
    <xf numFmtId="0" fontId="16" fillId="0" borderId="3" xfId="5" applyFont="1" applyBorder="1" applyAlignment="1">
      <alignment vertical="center"/>
    </xf>
    <xf numFmtId="0" fontId="18" fillId="0" borderId="0" xfId="5" applyFont="1" applyAlignment="1">
      <alignment vertical="center"/>
    </xf>
    <xf numFmtId="0" fontId="16" fillId="5" borderId="3" xfId="5" applyFont="1" applyFill="1" applyBorder="1" applyAlignment="1">
      <alignment vertical="center"/>
    </xf>
    <xf numFmtId="44" fontId="14" fillId="0" borderId="2" xfId="2" applyFont="1" applyBorder="1" applyAlignment="1"/>
    <xf numFmtId="0" fontId="20" fillId="0" borderId="0" xfId="0" applyFont="1" applyAlignment="1">
      <alignment horizontal="left" indent="3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1" fillId="0" borderId="0" xfId="0" applyFont="1" applyAlignment="1">
      <alignment horizontal="left" indent="5"/>
    </xf>
    <xf numFmtId="0" fontId="23" fillId="0" borderId="0" xfId="0" applyFont="1" applyAlignment="1">
      <alignment horizontal="right"/>
    </xf>
    <xf numFmtId="169" fontId="3" fillId="0" borderId="0" xfId="0" applyNumberFormat="1" applyFont="1"/>
    <xf numFmtId="3" fontId="3" fillId="0" borderId="0" xfId="0" applyNumberFormat="1" applyFont="1"/>
    <xf numFmtId="2" fontId="3" fillId="0" borderId="0" xfId="0" applyNumberFormat="1" applyFont="1"/>
    <xf numFmtId="171" fontId="3" fillId="0" borderId="0" xfId="0" applyNumberFormat="1" applyFont="1"/>
    <xf numFmtId="1" fontId="3" fillId="0" borderId="0" xfId="0" applyNumberFormat="1" applyFont="1"/>
    <xf numFmtId="3" fontId="22" fillId="0" borderId="0" xfId="0" applyNumberFormat="1" applyFont="1"/>
    <xf numFmtId="170" fontId="3" fillId="0" borderId="0" xfId="0" applyNumberFormat="1" applyFont="1"/>
    <xf numFmtId="172" fontId="3" fillId="0" borderId="0" xfId="0" applyNumberFormat="1" applyFont="1"/>
    <xf numFmtId="0" fontId="9" fillId="2" borderId="0" xfId="0" applyFont="1" applyFill="1" applyAlignment="1">
      <alignment horizontal="left" indent="1"/>
    </xf>
  </cellXfs>
  <cellStyles count="6">
    <cellStyle name="Currency" xfId="2" builtinId="4"/>
    <cellStyle name="Normal" xfId="0" builtinId="0"/>
    <cellStyle name="Normal 2 2" xfId="5" xr:uid="{C18B4A53-1965-4447-8A60-4DEC2629E18A}"/>
    <cellStyle name="Normal 2 5" xfId="4" xr:uid="{705BAABA-1046-4A56-8FB1-579D34E3ADBE}"/>
    <cellStyle name="Percent" xfId="3" builtinId="5"/>
    <cellStyle name="Vírgula 2" xfId="1" xr:uid="{DC497970-DADF-4D1A-B44C-001269ADAF44}"/>
  </cellStyles>
  <dxfs count="28">
    <dxf>
      <numFmt numFmtId="0" formatCode="General"/>
    </dxf>
    <dxf>
      <font>
        <sz val="10"/>
        <color rgb="FF000000"/>
        <name val="Roboto"/>
        <scheme val="none"/>
      </font>
      <numFmt numFmtId="164" formatCode="#,##0_);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64" formatCode="#,##0_);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6" justifyLastLine="0" shrinkToFit="0" readingOrder="0"/>
    </dxf>
    <dxf>
      <numFmt numFmtId="19" formatCode="dd/mm/yyyy"/>
    </dxf>
    <dxf>
      <numFmt numFmtId="19" formatCode="dd/mm/yyyy"/>
    </dxf>
    <dxf>
      <numFmt numFmtId="0" formatCode="General"/>
    </dxf>
    <dxf>
      <font>
        <sz val="10"/>
      </font>
      <numFmt numFmtId="0" formatCode="General"/>
      <alignment horizontal="left" vertical="bottom" textRotation="0" wrapText="0" indent="6" justifyLastLine="0" shrinkToFit="0" readingOrder="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rgb="FF9A0F1D"/>
        </top>
      </border>
    </dxf>
    <dxf>
      <border>
        <top style="thin">
          <color rgb="FF9A0F1D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rgb="FF9A0F1D"/>
        </top>
      </border>
    </dxf>
    <dxf>
      <font>
        <color theme="0"/>
      </font>
      <fill>
        <patternFill patternType="solid">
          <fgColor rgb="FF9A0F1D"/>
          <bgColor rgb="FF9A0F1D"/>
        </patternFill>
      </fill>
    </dxf>
    <dxf>
      <font>
        <color theme="1"/>
      </font>
      <border>
        <left style="thin">
          <color rgb="FF9A0F1D"/>
        </left>
        <right style="thin">
          <color rgb="FF9A0F1D"/>
        </right>
        <top style="thin">
          <color rgb="FF9A0F1D"/>
        </top>
        <bottom style="thin">
          <color rgb="FF9A0F1D"/>
        </bottom>
        <vertical/>
        <horizontal style="thin">
          <color rgb="FF9A0F1D"/>
        </horizontal>
      </border>
    </dxf>
  </dxfs>
  <tableStyles count="1" defaultTableStyle="TableStyleMedium2" defaultPivotStyle="PivotStyleLight16">
    <tableStyle name="TableStyleLight9 2" pivot="0" count="9" xr9:uid="{FB986D26-34C9-420F-85B9-457F51A763AF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secondRowStripe" dxfId="21"/>
      <tableStyleElement type="firstColumnStripe" dxfId="20"/>
      <tableStyleElement type="secondColumnStripe" dxfId="19"/>
    </tableStyle>
  </tableStyles>
  <colors>
    <mruColors>
      <color rgb="FF411214"/>
      <color rgb="FFB8081A"/>
      <color rgb="FFFF0037"/>
      <color rgb="FF9A0F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263457</xdr:colOff>
      <xdr:row>0</xdr:row>
      <xdr:rowOff>27214</xdr:rowOff>
    </xdr:from>
    <xdr:to>
      <xdr:col>11</xdr:col>
      <xdr:colOff>27214</xdr:colOff>
      <xdr:row>3</xdr:row>
      <xdr:rowOff>0</xdr:rowOff>
    </xdr:to>
    <xdr:sp macro="" textlink="">
      <xdr:nvSpPr>
        <xdr:cNvPr id="2" name="Retângulo: Cantos Arredondados 15">
          <a:extLst>
            <a:ext uri="{FF2B5EF4-FFF2-40B4-BE49-F238E27FC236}">
              <a16:creationId xmlns:a16="http://schemas.microsoft.com/office/drawing/2014/main" id="{74522B0F-0023-46B4-9A23-AAC753AE4A37}"/>
            </a:ext>
          </a:extLst>
        </xdr:cNvPr>
        <xdr:cNvSpPr/>
      </xdr:nvSpPr>
      <xdr:spPr>
        <a:xfrm>
          <a:off x="263457" y="27214"/>
          <a:ext cx="9887471" cy="625929"/>
        </a:xfrm>
        <a:prstGeom prst="roundRect">
          <a:avLst>
            <a:gd name="adj" fmla="val 19100"/>
          </a:avLst>
        </a:prstGeom>
        <a:solidFill>
          <a:srgbClr val="B8081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130096</xdr:colOff>
      <xdr:row>0</xdr:row>
      <xdr:rowOff>120169</xdr:rowOff>
    </xdr:from>
    <xdr:to>
      <xdr:col>5</xdr:col>
      <xdr:colOff>1355481</xdr:colOff>
      <xdr:row>2</xdr:row>
      <xdr:rowOff>119062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5627244-22BD-4C6B-AF38-AD147ADBBF14}"/>
            </a:ext>
          </a:extLst>
        </xdr:cNvPr>
        <xdr:cNvSpPr txBox="1"/>
      </xdr:nvSpPr>
      <xdr:spPr>
        <a:xfrm>
          <a:off x="444421" y="120169"/>
          <a:ext cx="5025860" cy="437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DRE (Demostração</a:t>
          </a:r>
          <a:r>
            <a:rPr lang="pt-BR" sz="1600" b="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de Resultados)    2024 - 2025</a:t>
          </a:r>
          <a:endParaRPr lang="pt-BR" sz="1600" b="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</xdr:col>
      <xdr:colOff>13606</xdr:colOff>
      <xdr:row>3</xdr:row>
      <xdr:rowOff>136071</xdr:rowOff>
    </xdr:from>
    <xdr:to>
      <xdr:col>2</xdr:col>
      <xdr:colOff>2000250</xdr:colOff>
      <xdr:row>6</xdr:row>
      <xdr:rowOff>108857</xdr:rowOff>
    </xdr:to>
    <xdr:sp macro="" textlink="">
      <xdr:nvSpPr>
        <xdr:cNvPr id="5" name="Retângulo: Cantos Arredondados 15">
          <a:extLst>
            <a:ext uri="{FF2B5EF4-FFF2-40B4-BE49-F238E27FC236}">
              <a16:creationId xmlns:a16="http://schemas.microsoft.com/office/drawing/2014/main" id="{871E400B-5265-3A3C-6D2B-3BF19085659F}"/>
            </a:ext>
          </a:extLst>
        </xdr:cNvPr>
        <xdr:cNvSpPr/>
      </xdr:nvSpPr>
      <xdr:spPr>
        <a:xfrm>
          <a:off x="326570" y="789214"/>
          <a:ext cx="2367644" cy="625929"/>
        </a:xfrm>
        <a:prstGeom prst="roundRect">
          <a:avLst>
            <a:gd name="adj" fmla="val 14752"/>
          </a:avLst>
        </a:prstGeom>
        <a:solidFill>
          <a:srgbClr val="FF0037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217713</xdr:colOff>
      <xdr:row>4</xdr:row>
      <xdr:rowOff>95250</xdr:rowOff>
    </xdr:from>
    <xdr:to>
      <xdr:col>2</xdr:col>
      <xdr:colOff>1696275</xdr:colOff>
      <xdr:row>5</xdr:row>
      <xdr:rowOff>182336</xdr:rowOff>
    </xdr:to>
    <xdr:pic>
      <xdr:nvPicPr>
        <xdr:cNvPr id="6" name="Imagem 5" descr="RI Americanas">
          <a:extLst>
            <a:ext uri="{FF2B5EF4-FFF2-40B4-BE49-F238E27FC236}">
              <a16:creationId xmlns:a16="http://schemas.microsoft.com/office/drawing/2014/main" id="{757D33AA-5342-45E1-A971-7D830F6F8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677" y="966107"/>
          <a:ext cx="1859562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123825</xdr:rowOff>
    </xdr:from>
    <xdr:to>
      <xdr:col>1</xdr:col>
      <xdr:colOff>1466850</xdr:colOff>
      <xdr:row>0</xdr:row>
      <xdr:rowOff>428625</xdr:rowOff>
    </xdr:to>
    <xdr:pic>
      <xdr:nvPicPr>
        <xdr:cNvPr id="3" name="Imagem 2" descr="RI Americanas">
          <a:extLst>
            <a:ext uri="{FF2B5EF4-FFF2-40B4-BE49-F238E27FC236}">
              <a16:creationId xmlns:a16="http://schemas.microsoft.com/office/drawing/2014/main" id="{EE5FE375-2FAC-2DFB-931B-B4FAC63BB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3825"/>
          <a:ext cx="1857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123825</xdr:rowOff>
    </xdr:from>
    <xdr:to>
      <xdr:col>2</xdr:col>
      <xdr:colOff>560917</xdr:colOff>
      <xdr:row>0</xdr:row>
      <xdr:rowOff>428625</xdr:rowOff>
    </xdr:to>
    <xdr:pic>
      <xdr:nvPicPr>
        <xdr:cNvPr id="5" name="Imagem 4" descr="RI Americanas">
          <a:extLst>
            <a:ext uri="{FF2B5EF4-FFF2-40B4-BE49-F238E27FC236}">
              <a16:creationId xmlns:a16="http://schemas.microsoft.com/office/drawing/2014/main" id="{5F928EB1-AE7E-4A2F-9FC1-F3DCCAC5C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3825"/>
          <a:ext cx="1857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EA491F5A-B30D-49E8-B320-7D6EDC4364C7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empresa_tic" tableColumnId="2"/>
      <queryTableField id="3" name="ano_tri" tableColumnId="3"/>
      <queryTableField id="4" name="data_ini" tableColumnId="4"/>
      <queryTableField id="5" name="data_fim" tableColumnId="5"/>
      <queryTableField id="6" name="conta" tableColumnId="6"/>
      <queryTableField id="7" name="descricao" tableColumnId="7"/>
      <queryTableField id="8" name="valor" tableColumnId="8"/>
      <queryTableField id="9" name="tipo_balanco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EE44BCE7-DDC5-4908-B25E-85ECFF7576FB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empresa_tic" tableColumnId="2"/>
      <queryTableField id="3" name="ano_tri" tableColumnId="3"/>
      <queryTableField id="4" name="data_ini" tableColumnId="4"/>
      <queryTableField id="5" name="data_fim" tableColumnId="5"/>
      <queryTableField id="6" name="conta" tableColumnId="6"/>
      <queryTableField id="7" name="descricao" tableColumnId="7"/>
      <queryTableField id="8" name="valor" tableColumnId="8"/>
      <queryTableField id="9" name="tipo_balanco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E8D5695-F521-4936-BF2A-CFE7B3D03A6A}" autoFormatId="16" applyNumberFormats="0" applyBorderFormats="0" applyFontFormats="0" applyPatternFormats="0" applyAlignmentFormats="0" applyWidthHeightFormats="0">
  <queryTableRefresh nextId="12">
    <queryTableFields count="9">
      <queryTableField id="1" name="id" tableColumnId="1"/>
      <queryTableField id="2" name="empresa_tic" tableColumnId="2"/>
      <queryTableField id="3" name="ano_tri" tableColumnId="3"/>
      <queryTableField id="4" name="data_ini" tableColumnId="4"/>
      <queryTableField id="5" name="data_fim" tableColumnId="5"/>
      <queryTableField id="6" name="conta" tableColumnId="6"/>
      <queryTableField id="7" name="descricao" tableColumnId="7"/>
      <queryTableField id="8" name="valor" tableColumnId="8"/>
      <queryTableField id="9" name="tipo_balanc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13F13F-3645-4F6E-958F-96F27FC6DE79}" name="_2023" displayName="_2023" ref="A1:I337" tableType="queryTable" totalsRowShown="0">
  <autoFilter ref="A1:I337" xr:uid="{6213F13F-3645-4F6E-958F-96F27FC6DE79}"/>
  <tableColumns count="9">
    <tableColumn id="1" xr3:uid="{2348B6FD-024A-4B5A-9AF0-1593E9D39867}" uniqueName="1" name="id" queryTableFieldId="1"/>
    <tableColumn id="2" xr3:uid="{E02FB583-92CA-476D-B255-089542938465}" uniqueName="2" name="empresa_tic" queryTableFieldId="2" dataDxfId="18"/>
    <tableColumn id="3" xr3:uid="{6126108E-7D89-44F2-ACC6-C0BB75C88C5B}" uniqueName="3" name="ano_tri" queryTableFieldId="3" dataDxfId="17"/>
    <tableColumn id="4" xr3:uid="{C118EE16-DF5A-4520-8503-C2B3B887CBE3}" uniqueName="4" name="data_ini" queryTableFieldId="4" dataDxfId="16"/>
    <tableColumn id="5" xr3:uid="{16B97663-DBE1-4A3C-9FF5-9F9EDE18F06A}" uniqueName="5" name="data_fim" queryTableFieldId="5" dataDxfId="15"/>
    <tableColumn id="6" xr3:uid="{B514644B-F5A0-4AA9-BB5B-A4FAE98A3AF1}" uniqueName="6" name="conta" queryTableFieldId="6"/>
    <tableColumn id="7" xr3:uid="{CF1FE4FD-1131-4E8F-B35F-346DCBAE97A4}" uniqueName="7" name="descricao" queryTableFieldId="7" dataDxfId="14"/>
    <tableColumn id="8" xr3:uid="{4723FF98-C4AA-4656-8A1A-4A1B0F410386}" uniqueName="8" name="valor" queryTableFieldId="8"/>
    <tableColumn id="9" xr3:uid="{CE8945BF-35EA-4FC2-B56C-65A5511C9CD6}" uniqueName="9" name="tipo_balanco" queryTableFieldId="9" dataDxfId="13"/>
  </tableColumns>
  <tableStyleInfo name="TableStyleLight9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6DDAA1-AF30-4132-B219-F228A391AADC}" name="_2024" displayName="_2024" ref="A1:I343" tableType="queryTable" totalsRowShown="0">
  <autoFilter ref="A1:I343" xr:uid="{576DDAA1-AF30-4132-B219-F228A391AADC}"/>
  <tableColumns count="9">
    <tableColumn id="1" xr3:uid="{69880A54-9BA2-4089-B02A-ADBA310AD538}" uniqueName="1" name="id" queryTableFieldId="1"/>
    <tableColumn id="2" xr3:uid="{DAC3F152-C78A-4F50-A57C-24A0178017E6}" uniqueName="2" name="empresa_tic" queryTableFieldId="2"/>
    <tableColumn id="3" xr3:uid="{6850924E-8275-4DEF-9C70-2AC0F7AB4D7C}" uniqueName="3" name="ano_tri" queryTableFieldId="3"/>
    <tableColumn id="4" xr3:uid="{45D17F97-E525-4B36-ABAB-BACC6C1F3C35}" uniqueName="4" name="data_ini" queryTableFieldId="4" dataDxfId="12"/>
    <tableColumn id="5" xr3:uid="{36474850-F32D-4666-8111-9D53657F6548}" uniqueName="5" name="data_fim" queryTableFieldId="5" dataDxfId="11"/>
    <tableColumn id="6" xr3:uid="{CD2548E5-086D-4A1E-B0EB-6F6185056E7B}" uniqueName="6" name="conta" queryTableFieldId="6"/>
    <tableColumn id="7" xr3:uid="{312AC143-5208-4F4C-A98D-28FA773FDE94}" uniqueName="7" name="descricao" queryTableFieldId="7" dataDxfId="10"/>
    <tableColumn id="8" xr3:uid="{39638D73-268E-4B85-B9F4-C4941C15FF6B}" uniqueName="8" name="valor" queryTableFieldId="8" dataDxfId="9" dataCellStyle="Vírgula 2"/>
    <tableColumn id="9" xr3:uid="{45D5A2B5-7953-4D19-9FDE-FE7C4CABFF61}" uniqueName="9" name="tipo_balanco" queryTableFieldId="9"/>
  </tableColumns>
  <tableStyleInfo name="TableStyleLight9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CBABA4-63B1-48F4-924D-20C38F00C64B}" name="_2025" displayName="_2025" ref="A1:I344" tableType="queryTable">
  <autoFilter ref="A1:I344" xr:uid="{8CCBABA4-63B1-48F4-924D-20C38F00C64B}"/>
  <tableColumns count="9">
    <tableColumn id="1" xr3:uid="{F7A19827-AF25-4C78-AFA8-683ADBB82ECF}" uniqueName="1" name="id" totalsRowLabel="Total" queryTableFieldId="1" dataDxfId="8"/>
    <tableColumn id="2" xr3:uid="{A5552708-42A5-42C7-8C4D-ACE83A911D30}" uniqueName="2" name="empresa_tic" queryTableFieldId="2" dataDxfId="7"/>
    <tableColumn id="3" xr3:uid="{FA2941D8-4324-4F5C-85E6-088940A1EB07}" uniqueName="3" name="ano_tri" queryTableFieldId="3" dataDxfId="6"/>
    <tableColumn id="4" xr3:uid="{F2711A4C-81F2-4BB1-95BB-D252B64FA1DB}" uniqueName="4" name="data_ini" queryTableFieldId="4" dataDxfId="5"/>
    <tableColumn id="5" xr3:uid="{53D98957-F21B-4FC6-9D48-4FFFB0441B9C}" uniqueName="5" name="data_fim" queryTableFieldId="5" dataDxfId="4"/>
    <tableColumn id="6" xr3:uid="{75B97397-6732-4560-9BC8-2A875358B72A}" uniqueName="6" name="conta" queryTableFieldId="6" dataDxfId="3"/>
    <tableColumn id="7" xr3:uid="{3BF57A20-5DAA-4EEA-880F-E82C4AFF79EE}" uniqueName="7" name="descricao" queryTableFieldId="7" dataDxfId="2"/>
    <tableColumn id="8" xr3:uid="{D8910A5E-FCE6-4975-9DE1-26EB1708BC77}" uniqueName="8" name="valor" queryTableFieldId="8" dataDxfId="1" dataCellStyle="Vírgula 2"/>
    <tableColumn id="9" xr3:uid="{8B6EAED9-5C7E-4B4A-9682-A7C94FDDBA4D}" uniqueName="9" name="tipo_balanco" totalsRowFunction="count" queryTableFieldId="9" dataDxfId="0"/>
  </tableColumns>
  <tableStyleInfo name="TableStyleLight9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06F3C8A-0CB2-4FDC-953D-556D672B6EC0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e257e1a2-6993-48f6-a20b-356978b7495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FE25948-183C-4D39-95C7-F498F8450AA5}">
  <we:reference id="wa200005502" version="1.0.0.12" store="pt-BR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1766-94E0-4187-9991-E29EFB840BE3}">
  <sheetPr>
    <outlinePr summaryBelow="0" summaryRight="0"/>
  </sheetPr>
  <dimension ref="A1:Z60"/>
  <sheetViews>
    <sheetView showGridLines="0" tabSelected="1" topLeftCell="A42" zoomScale="88" zoomScaleNormal="100" workbookViewId="0">
      <pane xSplit="3" topLeftCell="D1" activePane="topRight" state="frozen"/>
      <selection sqref="A1:P13"/>
      <selection pane="topRight" activeCell="C44" sqref="C44"/>
    </sheetView>
  </sheetViews>
  <sheetFormatPr defaultColWidth="12.7109375" defaultRowHeight="17.25" customHeight="1" outlineLevelRow="1" x14ac:dyDescent="0.2"/>
  <cols>
    <col min="1" max="1" width="4.7109375" style="30" customWidth="1"/>
    <col min="2" max="2" width="5.7109375" style="34" customWidth="1"/>
    <col min="3" max="3" width="34.42578125" style="34" bestFit="1" customWidth="1"/>
    <col min="4" max="5" width="16.85546875" style="34" customWidth="1"/>
    <col min="6" max="6" width="24.7109375" style="42" customWidth="1"/>
    <col min="7" max="7" width="9.140625" style="34" customWidth="1"/>
    <col min="8" max="8" width="24.7109375" style="42" customWidth="1"/>
    <col min="9" max="9" width="9.140625" style="34" customWidth="1"/>
    <col min="10" max="10" width="24.7109375" style="42" customWidth="1"/>
    <col min="11" max="11" width="9.140625" style="34" customWidth="1"/>
    <col min="12" max="16384" width="12.7109375" style="34"/>
  </cols>
  <sheetData>
    <row r="1" spans="1:14" s="30" customFormat="1" ht="17.25" customHeight="1" x14ac:dyDescent="0.2">
      <c r="C1" s="31"/>
      <c r="D1" s="31"/>
      <c r="E1" s="31"/>
      <c r="F1" s="32"/>
      <c r="G1" s="31"/>
      <c r="H1" s="32"/>
      <c r="I1" s="31"/>
      <c r="J1" s="32"/>
      <c r="K1" s="31"/>
    </row>
    <row r="2" spans="1:14" s="30" customFormat="1" ht="17.25" customHeight="1" x14ac:dyDescent="0.2">
      <c r="C2" s="33"/>
      <c r="D2" s="33"/>
      <c r="E2" s="33"/>
      <c r="F2" s="32"/>
      <c r="G2" s="33"/>
      <c r="H2" s="32"/>
      <c r="I2" s="33"/>
      <c r="J2" s="32"/>
      <c r="K2" s="33"/>
      <c r="N2" s="33"/>
    </row>
    <row r="3" spans="1:14" ht="17.25" customHeight="1" x14ac:dyDescent="0.2">
      <c r="F3" s="35"/>
      <c r="H3" s="35"/>
      <c r="J3" s="35"/>
    </row>
    <row r="4" spans="1:14" ht="17.25" customHeight="1" x14ac:dyDescent="0.2">
      <c r="F4" s="37"/>
      <c r="H4" s="37"/>
      <c r="J4" s="37"/>
    </row>
    <row r="5" spans="1:14" ht="17.25" customHeight="1" x14ac:dyDescent="0.2">
      <c r="F5" s="37"/>
      <c r="H5" s="37"/>
      <c r="J5" s="37"/>
    </row>
    <row r="6" spans="1:14" ht="17.25" customHeight="1" x14ac:dyDescent="0.2">
      <c r="F6" s="38">
        <v>2023</v>
      </c>
      <c r="H6" s="38">
        <v>2024</v>
      </c>
      <c r="I6" s="38"/>
      <c r="J6" s="38">
        <v>2025</v>
      </c>
      <c r="K6" s="38"/>
    </row>
    <row r="7" spans="1:14" ht="17.25" customHeight="1" x14ac:dyDescent="0.2">
      <c r="B7" s="30"/>
      <c r="F7" s="38"/>
      <c r="H7" s="38"/>
      <c r="J7" s="38"/>
    </row>
    <row r="8" spans="1:14" s="39" customFormat="1" ht="17.25" customHeight="1" x14ac:dyDescent="0.2">
      <c r="B8" s="40"/>
      <c r="C8" s="40" t="s">
        <v>668</v>
      </c>
      <c r="D8" s="40" t="s">
        <v>888</v>
      </c>
      <c r="E8" s="40"/>
      <c r="F8" s="41"/>
      <c r="G8" s="40"/>
      <c r="H8" s="41"/>
      <c r="I8" s="40"/>
      <c r="J8" s="41"/>
      <c r="K8" s="40"/>
    </row>
    <row r="10" spans="1:14" s="44" customFormat="1" ht="17.25" customHeight="1" x14ac:dyDescent="0.2">
      <c r="A10" s="43"/>
      <c r="C10" s="45" t="s">
        <v>669</v>
      </c>
      <c r="D10" s="45" t="s">
        <v>699</v>
      </c>
      <c r="E10" s="45"/>
      <c r="F10" s="46">
        <f>SUMIFS('20234T'!H:H,'20234T'!F:F,"301")</f>
        <v>14942000</v>
      </c>
      <c r="G10" s="47"/>
      <c r="H10" s="46">
        <f>SUMIFS('20244T'!H:H,'20244T'!F:F,"3.01")</f>
        <v>14349000</v>
      </c>
      <c r="I10" s="47"/>
      <c r="J10" s="46">
        <f>SUMIFS('20254T'!H:H,'20254T'!F:F,"3.01")</f>
        <v>12305000</v>
      </c>
      <c r="K10" s="47"/>
    </row>
    <row r="11" spans="1:14" s="49" customFormat="1" ht="17.25" customHeight="1" x14ac:dyDescent="0.2">
      <c r="A11" s="48"/>
      <c r="B11" s="34"/>
      <c r="C11" s="50"/>
      <c r="D11" s="115"/>
      <c r="E11" s="50"/>
      <c r="F11" s="51"/>
      <c r="G11" s="50"/>
      <c r="H11" s="51"/>
      <c r="I11" s="50"/>
      <c r="J11" s="51"/>
      <c r="K11" s="50"/>
    </row>
    <row r="12" spans="1:14" s="49" customFormat="1" ht="17.25" customHeight="1" x14ac:dyDescent="0.2">
      <c r="A12" s="48"/>
      <c r="B12" s="30"/>
      <c r="C12" s="52" t="s">
        <v>670</v>
      </c>
      <c r="D12" s="116" t="s">
        <v>699</v>
      </c>
      <c r="E12" s="52"/>
      <c r="F12" s="53">
        <f>F14-F10</f>
        <v>0</v>
      </c>
      <c r="G12" s="52"/>
      <c r="H12" s="53">
        <f>H14-H10</f>
        <v>0</v>
      </c>
      <c r="I12" s="52"/>
      <c r="J12" s="53">
        <f>J14-J10</f>
        <v>0</v>
      </c>
      <c r="K12" s="52"/>
    </row>
    <row r="13" spans="1:14" s="49" customFormat="1" ht="17.25" customHeight="1" x14ac:dyDescent="0.2">
      <c r="A13" s="48"/>
      <c r="B13" s="30"/>
      <c r="C13" s="50"/>
      <c r="D13" s="115"/>
      <c r="E13" s="50"/>
      <c r="F13" s="63"/>
      <c r="G13" s="50"/>
      <c r="H13" s="63"/>
      <c r="I13" s="50"/>
      <c r="J13" s="63"/>
      <c r="K13" s="50"/>
    </row>
    <row r="14" spans="1:14" s="68" customFormat="1" ht="17.25" customHeight="1" x14ac:dyDescent="0.2">
      <c r="A14" s="64"/>
      <c r="B14" s="65"/>
      <c r="C14" s="66" t="s">
        <v>671</v>
      </c>
      <c r="D14" s="117" t="s">
        <v>699</v>
      </c>
      <c r="E14" s="66"/>
      <c r="F14" s="67">
        <f>SUMIFS('20234T'!H:H,'20234T'!F:F,"301")</f>
        <v>14942000</v>
      </c>
      <c r="G14" s="66"/>
      <c r="H14" s="67">
        <f>SUMIFS('20244T'!H:H,'20244T'!F:F,"3.01")</f>
        <v>14349000</v>
      </c>
      <c r="I14" s="66"/>
      <c r="J14" s="67">
        <f>SUMIFS('20254T'!H:H,'20254T'!F:F,"3.01")</f>
        <v>12305000</v>
      </c>
      <c r="K14" s="66"/>
      <c r="L14" s="69"/>
    </row>
    <row r="15" spans="1:14" s="73" customFormat="1" ht="17.25" customHeight="1" x14ac:dyDescent="0.2">
      <c r="A15" s="70"/>
      <c r="B15" s="54"/>
      <c r="C15" s="71" t="s">
        <v>672</v>
      </c>
      <c r="D15" s="118" t="s">
        <v>700</v>
      </c>
      <c r="E15" s="71"/>
      <c r="F15" s="72">
        <f>F14/F14</f>
        <v>1</v>
      </c>
      <c r="G15" s="71"/>
      <c r="H15" s="72">
        <f>H14/H14</f>
        <v>1</v>
      </c>
      <c r="I15" s="71"/>
      <c r="J15" s="72">
        <f>J14/J14</f>
        <v>1</v>
      </c>
      <c r="K15" s="71"/>
    </row>
    <row r="16" spans="1:14" s="49" customFormat="1" ht="17.25" customHeight="1" x14ac:dyDescent="0.2">
      <c r="A16" s="48"/>
      <c r="B16" s="30"/>
      <c r="C16" s="50"/>
      <c r="D16" s="115"/>
      <c r="E16" s="50"/>
      <c r="F16" s="51"/>
      <c r="G16" s="50"/>
      <c r="H16" s="51"/>
      <c r="I16" s="50"/>
      <c r="J16" s="51"/>
      <c r="K16" s="50"/>
    </row>
    <row r="17" spans="1:11" s="49" customFormat="1" ht="17.25" customHeight="1" x14ac:dyDescent="0.2">
      <c r="A17" s="48"/>
      <c r="B17" s="30"/>
      <c r="C17" s="52" t="s">
        <v>673</v>
      </c>
      <c r="D17" s="116" t="s">
        <v>699</v>
      </c>
      <c r="E17" s="52"/>
      <c r="F17" s="74">
        <f>SUMIFS('20234T'!H:H,'20234T'!F:F,"302")</f>
        <v>-10586000</v>
      </c>
      <c r="G17" s="52"/>
      <c r="H17" s="74">
        <f>SUMIFS('20244T'!H:H,'20244T'!F:F,"3.02")</f>
        <v>-9722000</v>
      </c>
      <c r="I17" s="52"/>
      <c r="J17" s="74">
        <f>SUMIFS('20254T'!H:H,'20254T'!F:F,"3.02")</f>
        <v>-8981000</v>
      </c>
      <c r="K17" s="52"/>
    </row>
    <row r="18" spans="1:11" s="55" customFormat="1" ht="17.25" customHeight="1" x14ac:dyDescent="0.2">
      <c r="A18" s="54"/>
      <c r="D18" s="119" t="s">
        <v>700</v>
      </c>
      <c r="F18" s="56">
        <f>F17/F14</f>
        <v>-0.70847276134386294</v>
      </c>
      <c r="H18" s="56">
        <f>H17/H14</f>
        <v>-0.67753850442539554</v>
      </c>
      <c r="J18" s="56">
        <f>J17/J14</f>
        <v>-0.72986590816741159</v>
      </c>
    </row>
    <row r="19" spans="1:11" s="49" customFormat="1" ht="17.25" customHeight="1" x14ac:dyDescent="0.2">
      <c r="A19" s="48"/>
      <c r="B19" s="34"/>
      <c r="F19" s="51"/>
      <c r="H19" s="51"/>
      <c r="J19" s="51"/>
    </row>
    <row r="20" spans="1:11" s="49" customFormat="1" ht="17.25" customHeight="1" x14ac:dyDescent="0.2">
      <c r="A20" s="48"/>
      <c r="B20" s="34"/>
      <c r="C20" s="75" t="s">
        <v>674</v>
      </c>
      <c r="D20" s="120" t="s">
        <v>699</v>
      </c>
      <c r="E20" s="75"/>
      <c r="F20" s="76">
        <f>SUMIFS('20234T'!H:H,'20234T'!F:F,"303")</f>
        <v>4356000</v>
      </c>
      <c r="G20" s="75"/>
      <c r="H20" s="76">
        <f>SUMIFS('20244T'!H:H,'20244T'!F:F,"3.03")</f>
        <v>4627000</v>
      </c>
      <c r="I20" s="75"/>
      <c r="J20" s="76">
        <f>SUMIFS('20254T'!H:H,'20254T'!F:F,"3.03")</f>
        <v>3324000</v>
      </c>
      <c r="K20" s="75"/>
    </row>
    <row r="21" spans="1:11" s="73" customFormat="1" ht="17.25" customHeight="1" x14ac:dyDescent="0.2">
      <c r="A21" s="70"/>
      <c r="B21" s="55"/>
      <c r="C21" s="71" t="s">
        <v>675</v>
      </c>
      <c r="D21" s="118" t="s">
        <v>700</v>
      </c>
      <c r="E21" s="71"/>
      <c r="F21" s="72">
        <f>F20/F14</f>
        <v>0.29152723865613706</v>
      </c>
      <c r="G21" s="71"/>
      <c r="H21" s="72">
        <f>H20/H14</f>
        <v>0.32246149557460452</v>
      </c>
      <c r="I21" s="71"/>
      <c r="J21" s="72">
        <f>J20/J14</f>
        <v>0.27013409183258835</v>
      </c>
      <c r="K21" s="71"/>
    </row>
    <row r="22" spans="1:11" s="49" customFormat="1" ht="17.25" customHeight="1" x14ac:dyDescent="0.2">
      <c r="A22" s="48"/>
      <c r="B22" s="34"/>
      <c r="C22" s="50"/>
      <c r="D22" s="115"/>
      <c r="E22" s="50"/>
      <c r="F22" s="51"/>
      <c r="G22" s="50"/>
      <c r="H22" s="51"/>
      <c r="I22" s="50"/>
      <c r="J22" s="51"/>
      <c r="K22" s="50"/>
    </row>
    <row r="23" spans="1:11" s="49" customFormat="1" ht="17.25" customHeight="1" collapsed="1" x14ac:dyDescent="0.2">
      <c r="A23" s="48"/>
      <c r="B23" s="34"/>
      <c r="C23" s="52" t="s">
        <v>676</v>
      </c>
      <c r="D23" s="116" t="s">
        <v>699</v>
      </c>
      <c r="E23" s="52"/>
      <c r="F23" s="77">
        <f>SUMIFS('20234T'!H:H,'20234T'!F:F,"304")</f>
        <v>-8534000</v>
      </c>
      <c r="G23" s="78"/>
      <c r="H23" s="77">
        <f>SUMIFS('20244T'!H:H,'20244T'!F:F,"3.04")</f>
        <v>-3977000</v>
      </c>
      <c r="I23" s="78"/>
      <c r="J23" s="77">
        <f>SUMIFS('20254T'!H:H,'20254T'!F:F,"3.04")</f>
        <v>-2993000</v>
      </c>
      <c r="K23" s="78"/>
    </row>
    <row r="24" spans="1:11" s="84" customFormat="1" ht="17.25" hidden="1" customHeight="1" outlineLevel="1" x14ac:dyDescent="0.2">
      <c r="A24" s="79"/>
      <c r="B24" s="80"/>
      <c r="C24" s="81"/>
      <c r="D24" s="121"/>
      <c r="E24" s="81"/>
      <c r="F24" s="82">
        <f>F23/F14</f>
        <v>-0.57114174809262486</v>
      </c>
      <c r="G24" s="83"/>
      <c r="H24" s="82">
        <f>H23/H14</f>
        <v>-0.27716217157990103</v>
      </c>
      <c r="I24" s="83"/>
      <c r="J24" s="82">
        <f>J23/J14</f>
        <v>-0.24323445753758635</v>
      </c>
      <c r="K24" s="83"/>
    </row>
    <row r="25" spans="1:11" s="61" customFormat="1" ht="17.25" hidden="1" customHeight="1" outlineLevel="1" x14ac:dyDescent="0.2">
      <c r="A25" s="57"/>
      <c r="B25" s="85"/>
      <c r="C25" s="59"/>
      <c r="D25" s="122"/>
      <c r="E25" s="59"/>
      <c r="F25" s="60"/>
      <c r="G25" s="86"/>
      <c r="H25" s="60"/>
      <c r="I25" s="86"/>
      <c r="J25" s="60"/>
      <c r="K25" s="86"/>
    </row>
    <row r="26" spans="1:11" s="90" customFormat="1" ht="17.25" hidden="1" customHeight="1" outlineLevel="1" x14ac:dyDescent="0.2">
      <c r="A26" s="87"/>
      <c r="B26" s="88"/>
      <c r="C26" s="89" t="s">
        <v>677</v>
      </c>
      <c r="F26" s="62">
        <f>SUMIFS('20234T'!H:H,'20234T'!F:F,"30402")</f>
        <v>-3180000</v>
      </c>
      <c r="G26" s="91"/>
      <c r="H26" s="62">
        <f>SUMIFS('20244T'!H:H,'20244T'!F:F,"3.04.02")</f>
        <v>-2137000</v>
      </c>
      <c r="I26" s="91"/>
      <c r="J26" s="62">
        <f>SUMIFS('20254T'!H:H,'20254T'!F:F,"3.04.02")</f>
        <v>-1462000</v>
      </c>
      <c r="K26" s="91"/>
    </row>
    <row r="28" spans="1:11" s="49" customFormat="1" ht="17.25" customHeight="1" x14ac:dyDescent="0.2">
      <c r="A28" s="48"/>
      <c r="B28" s="34"/>
      <c r="C28" s="50"/>
      <c r="D28" s="115"/>
      <c r="E28" s="50"/>
      <c r="F28" s="51"/>
      <c r="G28" s="50"/>
      <c r="H28" s="51"/>
      <c r="I28" s="50"/>
      <c r="J28" s="51"/>
      <c r="K28" s="50"/>
    </row>
    <row r="29" spans="1:11" s="49" customFormat="1" ht="17.25" customHeight="1" x14ac:dyDescent="0.2">
      <c r="A29" s="48"/>
      <c r="B29" s="34"/>
      <c r="C29" s="75" t="s">
        <v>678</v>
      </c>
      <c r="D29" s="120" t="s">
        <v>699</v>
      </c>
      <c r="E29" s="75"/>
      <c r="F29" s="76">
        <f>F34-F32</f>
        <v>-2804000</v>
      </c>
      <c r="G29" s="75"/>
      <c r="H29" s="76">
        <f>H34-H32</f>
        <v>1660000</v>
      </c>
      <c r="I29" s="75"/>
      <c r="J29" s="76">
        <f>J34-J32</f>
        <v>1139000</v>
      </c>
      <c r="K29" s="75"/>
    </row>
    <row r="30" spans="1:11" s="73" customFormat="1" ht="17.25" customHeight="1" x14ac:dyDescent="0.2">
      <c r="A30" s="70"/>
      <c r="B30" s="55"/>
      <c r="C30" s="71" t="s">
        <v>679</v>
      </c>
      <c r="D30" s="118" t="s">
        <v>700</v>
      </c>
      <c r="E30" s="71"/>
      <c r="F30" s="92">
        <f>F29/F14</f>
        <v>-0.18765894793200374</v>
      </c>
      <c r="G30" s="71"/>
      <c r="H30" s="92">
        <f>H29/H14</f>
        <v>0.11568750435570423</v>
      </c>
      <c r="I30" s="71"/>
      <c r="J30" s="92">
        <f>J29/J14</f>
        <v>9.2563998374644449E-2</v>
      </c>
      <c r="K30" s="71"/>
    </row>
    <row r="31" spans="1:11" s="49" customFormat="1" ht="17.25" customHeight="1" x14ac:dyDescent="0.2">
      <c r="A31" s="48"/>
      <c r="B31" s="34"/>
      <c r="C31" s="50"/>
      <c r="D31" s="115"/>
      <c r="E31" s="50"/>
      <c r="F31" s="51"/>
      <c r="G31" s="50"/>
      <c r="H31" s="51"/>
      <c r="I31" s="50"/>
      <c r="J31" s="51"/>
      <c r="K31" s="50"/>
    </row>
    <row r="32" spans="1:11" s="68" customFormat="1" ht="17.25" customHeight="1" x14ac:dyDescent="0.2">
      <c r="A32" s="93"/>
      <c r="B32" s="44"/>
      <c r="C32" s="94" t="s">
        <v>629</v>
      </c>
      <c r="D32" s="94" t="s">
        <v>699</v>
      </c>
      <c r="E32" s="94"/>
      <c r="F32" s="95">
        <f>-SUMIFS('20234T'!H:H,'20234T'!F:F,"6010103")</f>
        <v>-1374000</v>
      </c>
      <c r="G32" s="94"/>
      <c r="H32" s="95">
        <f>-SUMIFS('20244T'!H:H,'20244T'!F:F,"6.01.01.03")</f>
        <v>-1010000</v>
      </c>
      <c r="I32" s="94"/>
      <c r="J32" s="95">
        <f>-SUMIFS('20254T'!H:H,'20254T'!F:F,"6.01.01.03")</f>
        <v>-808000</v>
      </c>
      <c r="K32" s="94"/>
    </row>
    <row r="33" spans="1:11" s="49" customFormat="1" ht="17.25" customHeight="1" x14ac:dyDescent="0.2">
      <c r="A33" s="48"/>
      <c r="B33" s="34"/>
      <c r="C33" s="50"/>
      <c r="D33" s="115"/>
      <c r="E33" s="50"/>
      <c r="F33" s="51"/>
      <c r="G33" s="50"/>
      <c r="H33" s="51"/>
      <c r="I33" s="50"/>
      <c r="J33" s="51"/>
      <c r="K33" s="50"/>
    </row>
    <row r="34" spans="1:11" s="49" customFormat="1" ht="17.25" customHeight="1" x14ac:dyDescent="0.2">
      <c r="A34" s="48"/>
      <c r="B34" s="34"/>
      <c r="C34" s="75" t="s">
        <v>680</v>
      </c>
      <c r="D34" s="120" t="s">
        <v>699</v>
      </c>
      <c r="E34" s="75"/>
      <c r="F34" s="76">
        <f>SUMIFS('20234T'!H:H,'20234T'!F:F,"305")</f>
        <v>-4178000</v>
      </c>
      <c r="G34" s="75"/>
      <c r="H34" s="76">
        <f>SUMIFS('20244T'!H:H,'20244T'!F:F,"3.05")</f>
        <v>650000</v>
      </c>
      <c r="I34" s="75"/>
      <c r="J34" s="76">
        <f>SUMIFS('20254T'!H:H,'20254T'!F:F,"3.05")</f>
        <v>331000</v>
      </c>
      <c r="K34" s="75"/>
    </row>
    <row r="35" spans="1:11" s="73" customFormat="1" ht="17.25" customHeight="1" x14ac:dyDescent="0.2">
      <c r="A35" s="70"/>
      <c r="B35" s="55"/>
      <c r="C35" s="71" t="s">
        <v>681</v>
      </c>
      <c r="D35" s="118" t="s">
        <v>700</v>
      </c>
      <c r="E35" s="71"/>
      <c r="F35" s="72">
        <f>F34/F14</f>
        <v>-0.27961450943648775</v>
      </c>
      <c r="G35" s="71"/>
      <c r="H35" s="72">
        <f>H34/H14</f>
        <v>4.5299323994703461E-2</v>
      </c>
      <c r="I35" s="71"/>
      <c r="J35" s="72">
        <f>J34/J14</f>
        <v>2.6899634295002032E-2</v>
      </c>
      <c r="K35" s="71"/>
    </row>
    <row r="36" spans="1:11" s="49" customFormat="1" ht="18" customHeight="1" x14ac:dyDescent="0.2">
      <c r="A36" s="48"/>
      <c r="B36" s="34"/>
      <c r="C36" s="50"/>
      <c r="D36" s="115"/>
      <c r="E36" s="50"/>
      <c r="F36" s="51"/>
      <c r="G36" s="50"/>
      <c r="H36" s="51"/>
      <c r="I36" s="50"/>
      <c r="J36" s="51"/>
      <c r="K36" s="50"/>
    </row>
    <row r="37" spans="1:11" s="49" customFormat="1" ht="17.25" customHeight="1" x14ac:dyDescent="0.2">
      <c r="A37" s="48"/>
      <c r="B37" s="34"/>
      <c r="C37" s="52" t="s">
        <v>176</v>
      </c>
      <c r="D37" s="116" t="s">
        <v>699</v>
      </c>
      <c r="E37" s="52"/>
      <c r="F37" s="77">
        <f>SUMIFS('20234T'!H:H,'20234T'!F:F,"30602")</f>
        <v>-4240000</v>
      </c>
      <c r="G37" s="52"/>
      <c r="H37" s="77">
        <f>SUMIFS('20244T'!H:H,'20244T'!F:F,"3.06.02")</f>
        <v>-4378000</v>
      </c>
      <c r="I37" s="52"/>
      <c r="J37" s="77">
        <f>SUMIFS('20254T'!H:H,'20254T'!F:F,"3.06.02")</f>
        <v>-1127000</v>
      </c>
      <c r="K37" s="52"/>
    </row>
    <row r="38" spans="1:11" s="84" customFormat="1" ht="17.25" customHeight="1" x14ac:dyDescent="0.2">
      <c r="A38" s="79"/>
      <c r="B38" s="80"/>
      <c r="C38" s="81"/>
      <c r="D38" s="121" t="s">
        <v>700</v>
      </c>
      <c r="E38" s="81"/>
      <c r="F38" s="96">
        <f>F37/F14</f>
        <v>-0.28376388702984873</v>
      </c>
      <c r="G38" s="83"/>
      <c r="H38" s="96">
        <f>H37/H14</f>
        <v>-0.30510836992124885</v>
      </c>
      <c r="I38" s="83"/>
      <c r="J38" s="96">
        <f>J37/J14</f>
        <v>-9.1588785046728974E-2</v>
      </c>
      <c r="K38" s="83"/>
    </row>
    <row r="39" spans="1:11" s="49" customFormat="1" ht="17.25" customHeight="1" x14ac:dyDescent="0.2">
      <c r="A39" s="48"/>
      <c r="B39" s="34"/>
      <c r="C39" s="50"/>
      <c r="D39" s="115"/>
      <c r="E39" s="50"/>
      <c r="F39" s="98"/>
      <c r="G39" s="50"/>
      <c r="H39" s="98"/>
      <c r="I39" s="50"/>
      <c r="J39" s="98"/>
      <c r="K39" s="50"/>
    </row>
    <row r="40" spans="1:11" s="49" customFormat="1" ht="17.25" customHeight="1" x14ac:dyDescent="0.2">
      <c r="A40" s="48"/>
      <c r="B40" s="34"/>
      <c r="C40" s="52" t="s">
        <v>175</v>
      </c>
      <c r="D40" s="116" t="s">
        <v>699</v>
      </c>
      <c r="E40" s="52"/>
      <c r="F40" s="112">
        <f>SUMIFS('20234T'!H:H,'20234T'!F:F,"30601")</f>
        <v>1384000</v>
      </c>
      <c r="G40" s="113"/>
      <c r="H40" s="112">
        <f>SUMIFS('20244T'!H:H,'20244T'!F:F,"3.06.01")</f>
        <v>16697000</v>
      </c>
      <c r="I40" s="113"/>
      <c r="J40" s="112">
        <f>SUMIFS('20254T'!H:H,'20254T'!F:F,"3.06.01")</f>
        <v>963000</v>
      </c>
      <c r="K40" s="52"/>
    </row>
    <row r="41" spans="1:11" s="49" customFormat="1" ht="17.25" customHeight="1" x14ac:dyDescent="0.2">
      <c r="A41" s="48"/>
      <c r="B41" s="34"/>
      <c r="C41" s="99"/>
      <c r="D41" s="123" t="s">
        <v>700</v>
      </c>
      <c r="E41" s="99"/>
      <c r="F41" s="100">
        <f>F40/F14</f>
        <v>9.2624815955026099E-2</v>
      </c>
      <c r="G41" s="114"/>
      <c r="H41" s="100">
        <f>H40/H14</f>
        <v>1.1636350965224058</v>
      </c>
      <c r="I41" s="114"/>
      <c r="J41" s="100">
        <f>J40/J14</f>
        <v>7.8260869565217397E-2</v>
      </c>
      <c r="K41" s="99"/>
    </row>
    <row r="42" spans="1:11" s="49" customFormat="1" ht="17.25" customHeight="1" x14ac:dyDescent="0.2">
      <c r="A42" s="48"/>
      <c r="B42" s="34"/>
      <c r="F42" s="51"/>
      <c r="H42" s="51"/>
      <c r="J42" s="51"/>
    </row>
    <row r="43" spans="1:11" s="49" customFormat="1" ht="17.25" customHeight="1" x14ac:dyDescent="0.2">
      <c r="A43" s="48"/>
      <c r="B43" s="34"/>
      <c r="C43" s="75" t="s">
        <v>889</v>
      </c>
      <c r="D43" s="120" t="s">
        <v>699</v>
      </c>
      <c r="E43" s="75"/>
      <c r="F43" s="76">
        <f>SUMIFS('20234T'!H:H,'20234T'!F:F,"307")</f>
        <v>-7034000</v>
      </c>
      <c r="G43" s="75"/>
      <c r="H43" s="76">
        <f>SUMIFS('20244T'!H:H,'20244T'!F:F,"3.07")</f>
        <v>12969000</v>
      </c>
      <c r="I43" s="75"/>
      <c r="J43" s="76">
        <f>SUMIFS('20254T'!H:H,'20254T'!F:F,"3.07")</f>
        <v>167000</v>
      </c>
      <c r="K43" s="75"/>
    </row>
    <row r="44" spans="1:11" s="73" customFormat="1" ht="17.25" customHeight="1" x14ac:dyDescent="0.2">
      <c r="A44" s="70"/>
      <c r="B44" s="55"/>
      <c r="C44" s="71" t="s">
        <v>682</v>
      </c>
      <c r="D44" s="118" t="s">
        <v>700</v>
      </c>
      <c r="E44" s="71"/>
      <c r="F44" s="72">
        <f>F43/F14</f>
        <v>-0.47075358051131039</v>
      </c>
      <c r="G44" s="71"/>
      <c r="H44" s="72">
        <f>H43/H14</f>
        <v>0.9038260505958603</v>
      </c>
      <c r="I44" s="71"/>
      <c r="J44" s="72">
        <f>J43/J14</f>
        <v>1.357171881349045E-2</v>
      </c>
      <c r="K44" s="71"/>
    </row>
    <row r="45" spans="1:11" s="49" customFormat="1" ht="17.25" customHeight="1" x14ac:dyDescent="0.2">
      <c r="A45" s="48"/>
      <c r="B45" s="34"/>
      <c r="C45" s="50"/>
      <c r="D45" s="115"/>
      <c r="E45" s="50"/>
      <c r="F45" s="51"/>
      <c r="G45" s="50"/>
      <c r="H45" s="51"/>
      <c r="I45" s="50"/>
      <c r="J45" s="51"/>
      <c r="K45" s="50"/>
    </row>
    <row r="46" spans="1:11" s="49" customFormat="1" ht="17.25" customHeight="1" x14ac:dyDescent="0.2">
      <c r="A46" s="48"/>
      <c r="B46" s="34"/>
      <c r="C46" s="52" t="s">
        <v>683</v>
      </c>
      <c r="D46" s="116" t="s">
        <v>699</v>
      </c>
      <c r="E46" s="52"/>
      <c r="F46" s="77">
        <f>SUMIFS('20234T'!H:H,'20234T'!F:F,"308")</f>
        <v>4762000</v>
      </c>
      <c r="G46" s="52"/>
      <c r="H46" s="77">
        <f>SUMIFS('20244T'!H:H,'20244T'!F:F,"3.08")</f>
        <v>-4717000</v>
      </c>
      <c r="I46" s="52"/>
      <c r="J46" s="77">
        <f>SUMIFS('20254T'!H:H,'20254T'!F:F,"3.08")</f>
        <v>-69000</v>
      </c>
      <c r="K46" s="52"/>
    </row>
    <row r="47" spans="1:11" s="73" customFormat="1" ht="17.25" customHeight="1" collapsed="1" x14ac:dyDescent="0.2">
      <c r="A47" s="70"/>
      <c r="B47" s="55"/>
      <c r="C47" s="97"/>
      <c r="D47" s="121" t="s">
        <v>700</v>
      </c>
      <c r="E47" s="97"/>
      <c r="F47" s="100">
        <f>F46/F14</f>
        <v>0.31869896934814618</v>
      </c>
      <c r="G47" s="97"/>
      <c r="H47" s="100">
        <f>H46/H14</f>
        <v>-0.32873370966617882</v>
      </c>
      <c r="I47" s="97"/>
      <c r="J47" s="100">
        <f>J46/J14</f>
        <v>-5.6074766355140183E-3</v>
      </c>
      <c r="K47" s="97"/>
    </row>
    <row r="48" spans="1:11" s="57" customFormat="1" ht="17.25" hidden="1" customHeight="1" outlineLevel="1" x14ac:dyDescent="0.2">
      <c r="B48" s="58"/>
      <c r="C48" s="101"/>
      <c r="D48" s="124"/>
      <c r="E48" s="101"/>
      <c r="F48" s="111"/>
      <c r="G48" s="101"/>
      <c r="H48" s="111"/>
      <c r="I48" s="101"/>
      <c r="J48" s="111"/>
      <c r="K48" s="101"/>
    </row>
    <row r="49" spans="1:26" s="104" customFormat="1" ht="17.25" hidden="1" customHeight="1" outlineLevel="1" x14ac:dyDescent="0.2">
      <c r="A49" s="64"/>
      <c r="B49" s="65"/>
      <c r="C49" s="102" t="s">
        <v>684</v>
      </c>
      <c r="D49" s="91"/>
      <c r="E49" s="102"/>
      <c r="F49" s="103">
        <f>SUMIFS('20234T'!H:H,'20234T'!F:F,"30801")</f>
        <v>-32000</v>
      </c>
      <c r="G49" s="102"/>
      <c r="H49" s="103">
        <f>SUMIFS('20244T'!H:H,'20244T'!F:F,"3.08.01")</f>
        <v>-38000</v>
      </c>
      <c r="I49" s="102"/>
      <c r="J49" s="103">
        <f>SUMIFS('20254T'!H:H,'20254T'!F:F,"3.08.01")</f>
        <v>-14000</v>
      </c>
      <c r="K49" s="102"/>
    </row>
    <row r="50" spans="1:26" s="107" customFormat="1" ht="17.25" hidden="1" customHeight="1" outlineLevel="1" x14ac:dyDescent="0.2">
      <c r="A50" s="64"/>
      <c r="B50" s="65"/>
      <c r="C50" s="105" t="s">
        <v>685</v>
      </c>
      <c r="D50" s="125"/>
      <c r="E50" s="105"/>
      <c r="F50" s="106"/>
      <c r="G50" s="105"/>
      <c r="H50" s="106"/>
      <c r="I50" s="105"/>
      <c r="J50" s="106"/>
      <c r="K50" s="105"/>
    </row>
    <row r="51" spans="1:26" s="107" customFormat="1" ht="17.25" hidden="1" customHeight="1" outlineLevel="1" x14ac:dyDescent="0.2">
      <c r="A51" s="64"/>
      <c r="B51" s="65"/>
      <c r="C51" s="105" t="s">
        <v>686</v>
      </c>
      <c r="D51" s="125"/>
      <c r="E51" s="105"/>
      <c r="F51" s="106"/>
      <c r="G51" s="105"/>
      <c r="H51" s="106"/>
      <c r="I51" s="105"/>
      <c r="J51" s="106"/>
      <c r="K51" s="105"/>
    </row>
    <row r="52" spans="1:26" s="107" customFormat="1" ht="17.25" hidden="1" customHeight="1" outlineLevel="1" x14ac:dyDescent="0.2">
      <c r="A52" s="64"/>
      <c r="B52" s="65"/>
      <c r="C52" s="105" t="s">
        <v>687</v>
      </c>
      <c r="D52" s="125"/>
      <c r="E52" s="105"/>
      <c r="F52" s="106"/>
      <c r="G52" s="105"/>
      <c r="H52" s="106"/>
      <c r="I52" s="105"/>
      <c r="J52" s="106"/>
      <c r="K52" s="105"/>
    </row>
    <row r="53" spans="1:26" s="107" customFormat="1" ht="17.25" hidden="1" customHeight="1" outlineLevel="1" x14ac:dyDescent="0.2">
      <c r="A53" s="64"/>
      <c r="B53" s="65"/>
      <c r="C53" s="105" t="s">
        <v>688</v>
      </c>
      <c r="D53" s="125"/>
      <c r="E53" s="105"/>
      <c r="F53" s="106"/>
      <c r="G53" s="105"/>
      <c r="H53" s="106"/>
      <c r="I53" s="105"/>
      <c r="J53" s="106"/>
      <c r="K53" s="105"/>
    </row>
    <row r="54" spans="1:26" s="107" customFormat="1" ht="17.25" hidden="1" customHeight="1" outlineLevel="1" x14ac:dyDescent="0.2">
      <c r="A54" s="64"/>
      <c r="B54" s="65"/>
      <c r="C54" s="105" t="s">
        <v>689</v>
      </c>
      <c r="D54" s="125"/>
      <c r="E54" s="105"/>
      <c r="F54" s="106">
        <f>SUMIFS('20234T'!H:H,'20234T'!F:F,"30802")</f>
        <v>4794000</v>
      </c>
      <c r="G54" s="105"/>
      <c r="H54" s="106">
        <f>SUMIFS('20244T'!H:H,'20244T'!F:F,"3.08.02")</f>
        <v>-4679000</v>
      </c>
      <c r="I54" s="105"/>
      <c r="J54" s="106">
        <f>SUMIFS('20254T'!H:H,'20254T'!F:F,"3.08.02")</f>
        <v>-55000</v>
      </c>
      <c r="K54" s="105"/>
    </row>
    <row r="55" spans="1:26" s="49" customFormat="1" ht="17.25" customHeight="1" x14ac:dyDescent="0.2">
      <c r="A55" s="48"/>
      <c r="B55" s="30"/>
      <c r="C55" s="50"/>
      <c r="D55" s="115"/>
      <c r="E55" s="50"/>
      <c r="F55" s="98"/>
      <c r="G55" s="50"/>
      <c r="H55" s="98"/>
      <c r="I55" s="50"/>
      <c r="J55" s="98"/>
      <c r="K55" s="50"/>
    </row>
    <row r="56" spans="1:26" s="49" customFormat="1" ht="17.25" customHeight="1" x14ac:dyDescent="0.2">
      <c r="A56" s="48"/>
      <c r="B56" s="30"/>
      <c r="C56" s="75" t="s">
        <v>690</v>
      </c>
      <c r="D56" s="120" t="s">
        <v>699</v>
      </c>
      <c r="E56" s="75"/>
      <c r="F56" s="76">
        <f>SUMIFS('20234T'!H:H,'20234T'!F:F,"311")</f>
        <v>-2272000</v>
      </c>
      <c r="G56" s="108"/>
      <c r="H56" s="76">
        <f>SUMIFS('20244T'!H:H,'20244T'!F:F,"3.11")</f>
        <v>8281000</v>
      </c>
      <c r="I56" s="108"/>
      <c r="J56" s="76">
        <f>SUMIFS('20254T'!H:H,'20254T'!F:F,"3.11")</f>
        <v>-271000</v>
      </c>
      <c r="K56" s="108"/>
    </row>
    <row r="57" spans="1:26" s="73" customFormat="1" ht="17.25" customHeight="1" x14ac:dyDescent="0.2">
      <c r="A57" s="70"/>
      <c r="B57" s="55"/>
      <c r="C57" s="71" t="s">
        <v>691</v>
      </c>
      <c r="D57" s="118" t="s">
        <v>700</v>
      </c>
      <c r="E57" s="71"/>
      <c r="F57" s="72">
        <f>F56/F14</f>
        <v>-0.15205461116316424</v>
      </c>
      <c r="G57" s="71"/>
      <c r="H57" s="72">
        <f>H56/H14</f>
        <v>0.57711338769252207</v>
      </c>
      <c r="I57" s="71"/>
      <c r="J57" s="72">
        <f>J56/J14</f>
        <v>-2.2023567655424625E-2</v>
      </c>
      <c r="K57" s="71"/>
    </row>
    <row r="58" spans="1:26" s="36" customFormat="1" ht="17.25" customHeight="1" x14ac:dyDescent="0.25">
      <c r="A58" s="30"/>
      <c r="B58" s="34"/>
      <c r="C58" s="34"/>
      <c r="D58" s="34"/>
      <c r="E58" s="34"/>
      <c r="F58" s="109"/>
      <c r="G58" s="34"/>
      <c r="H58" s="109"/>
      <c r="I58" s="34"/>
      <c r="J58" s="109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s="36" customFormat="1" ht="17.25" customHeight="1" x14ac:dyDescent="0.25">
      <c r="A59" s="30"/>
      <c r="B59" s="110"/>
      <c r="C59" s="34"/>
      <c r="D59" s="34"/>
      <c r="E59" s="34"/>
      <c r="F59" s="42"/>
      <c r="G59" s="34"/>
      <c r="H59" s="42"/>
      <c r="I59" s="34"/>
      <c r="J59" s="42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s="36" customFormat="1" ht="17.25" customHeight="1" x14ac:dyDescent="0.25">
      <c r="A60" s="30"/>
      <c r="B60" s="110"/>
      <c r="C60" s="34"/>
      <c r="D60" s="34"/>
      <c r="E60" s="34"/>
      <c r="F60" s="42"/>
      <c r="G60" s="34"/>
      <c r="H60" s="42"/>
      <c r="I60" s="34"/>
      <c r="J60" s="42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4FC3-CE05-46DB-91DE-8BC5661F5B1D}">
  <dimension ref="B1:I90"/>
  <sheetViews>
    <sheetView showGridLines="0" zoomScale="95" workbookViewId="0">
      <pane ySplit="2" topLeftCell="A52" activePane="bottomLeft" state="frozen"/>
      <selection pane="bottomLeft" activeCell="F59" sqref="F59"/>
    </sheetView>
  </sheetViews>
  <sheetFormatPr defaultRowHeight="15" x14ac:dyDescent="0.25"/>
  <cols>
    <col min="1" max="1" width="9.140625" style="3"/>
    <col min="2" max="2" width="56.140625" style="16" bestFit="1" customWidth="1"/>
    <col min="3" max="3" width="13" style="16" customWidth="1"/>
    <col min="4" max="4" width="27.7109375" style="16" customWidth="1"/>
    <col min="5" max="5" width="24.7109375" style="3" customWidth="1"/>
    <col min="6" max="6" width="16.85546875" style="6" bestFit="1" customWidth="1"/>
    <col min="7" max="7" width="15.5703125" style="6" bestFit="1" customWidth="1"/>
    <col min="8" max="8" width="10.85546875" style="3" bestFit="1" customWidth="1"/>
    <col min="9" max="16384" width="9.140625" style="3"/>
  </cols>
  <sheetData>
    <row r="1" spans="2:9" s="23" customFormat="1" ht="41.25" customHeight="1" x14ac:dyDescent="0.25">
      <c r="B1" s="22"/>
      <c r="C1" s="22"/>
      <c r="D1" s="22"/>
      <c r="F1" s="24"/>
      <c r="G1" s="24"/>
    </row>
    <row r="2" spans="2:9" s="25" customFormat="1" ht="27" customHeight="1" x14ac:dyDescent="0.25">
      <c r="B2" s="26" t="s">
        <v>0</v>
      </c>
      <c r="C2" s="26" t="s">
        <v>701</v>
      </c>
      <c r="D2" s="26" t="s">
        <v>702</v>
      </c>
      <c r="E2" s="27"/>
      <c r="F2" s="28">
        <v>2024</v>
      </c>
      <c r="G2" s="28">
        <v>2025</v>
      </c>
    </row>
    <row r="3" spans="2:9" ht="27.75" customHeight="1" x14ac:dyDescent="0.25">
      <c r="B3" s="126" t="s">
        <v>620</v>
      </c>
      <c r="C3" s="18"/>
      <c r="D3" s="18"/>
    </row>
    <row r="4" spans="2:9" x14ac:dyDescent="0.25">
      <c r="B4" s="19" t="s">
        <v>665</v>
      </c>
      <c r="C4" s="127" t="s">
        <v>703</v>
      </c>
      <c r="D4" s="128" t="s">
        <v>710</v>
      </c>
      <c r="F4" s="132">
        <f>SUMIFS(_2024[valor],_2024[descricao],Estrutura!$C$6)-SUMIFS(_2024[valor],_2024[descricao],Estrutura!$F$6)</f>
        <v>2696000</v>
      </c>
      <c r="G4" s="132">
        <f>SUMIFS(_2025[valor],_2025[descricao],Estrutura!C6)-SUMIFS(_2025[valor],_2025[descricao],Estrutura!F6)</f>
        <v>3107000</v>
      </c>
      <c r="H4" s="132"/>
    </row>
    <row r="5" spans="2:9" x14ac:dyDescent="0.25">
      <c r="B5" s="19" t="s">
        <v>666</v>
      </c>
      <c r="C5" s="127" t="s">
        <v>704</v>
      </c>
      <c r="D5" s="128" t="s">
        <v>711</v>
      </c>
      <c r="F5" s="133">
        <f>SUMIFS(_2024[valor],_2024[conta],"1.01")/SUMIFS(_2024[valor],_2024[conta],"2.01")</f>
        <v>1.6152441807393885</v>
      </c>
      <c r="G5" s="133">
        <f>SUMIFS(_2025[valor],_2025[conta],"1.01")/SUMIFS(_2025[valor],_2025[conta],"2.01")</f>
        <v>1.6661663807890223</v>
      </c>
      <c r="H5" s="133"/>
      <c r="I5"/>
    </row>
    <row r="6" spans="2:9" x14ac:dyDescent="0.25">
      <c r="B6" s="19" t="s">
        <v>667</v>
      </c>
      <c r="C6" s="127" t="s">
        <v>705</v>
      </c>
      <c r="D6" s="128" t="s">
        <v>712</v>
      </c>
      <c r="F6" s="133">
        <f>(SUMIFS(_2024[valor],_2024[conta],"1.01")-SUMIFS(_2024[valor],_2024[conta],"1.01.04")-SUMIFS(_2024[valor],_2024[conta],"1.01.07"))/SUMIFS(_2024[valor],_2024[conta],"2.01")</f>
        <v>1.1522136010953903</v>
      </c>
      <c r="G6" s="133">
        <f>(SUMIFS(_2025[valor],_2025[conta],"1.01")-SUMIFS(_2025[valor],_2025[conta],"1.01.04")-SUMIFS(_2025[valor],_2025[conta],"1.01.07"))/SUMIFS(_2025[valor],_2025[conta],"2.01")</f>
        <v>1.2341337907375642</v>
      </c>
      <c r="H6" s="133"/>
    </row>
    <row r="7" spans="2:9" x14ac:dyDescent="0.25">
      <c r="B7" s="19" t="s">
        <v>709</v>
      </c>
      <c r="C7" s="127" t="s">
        <v>706</v>
      </c>
      <c r="D7" s="128" t="s">
        <v>713</v>
      </c>
      <c r="F7" s="133">
        <f>SUMIFS(_2024[valor],_2024[conta],"1.01.01")/SUMIFS(_2024[valor],_2024[conta],"2.01")</f>
        <v>0.25764491099954356</v>
      </c>
      <c r="G7" s="133">
        <f>SUMIFS(_2025[valor],_2025[conta],"1.01.01")/SUMIFS(_2025[valor],_2025[conta],"2.01")</f>
        <v>0.18846483704974271</v>
      </c>
      <c r="H7" s="133"/>
    </row>
    <row r="8" spans="2:9" x14ac:dyDescent="0.25">
      <c r="B8" s="19" t="s">
        <v>708</v>
      </c>
      <c r="C8" s="127" t="s">
        <v>707</v>
      </c>
      <c r="D8" s="128" t="s">
        <v>714</v>
      </c>
      <c r="F8" s="133">
        <f>(SUMIFS(_2024[valor],_2024[conta],"1.01")+SUMIFS(_2024[valor],_2024[conta],"1.02.01"))/(SUMIFS(_2024[valor],_2024[conta],"2.01")+SUMIFS(_2024[valor],_2024[conta],"2.02"))</f>
        <v>0.90740296118447383</v>
      </c>
      <c r="G8" s="133">
        <f>(SUMIFS(_2025[valor],_2025[conta],"1.01")+SUMIFS(_2025[valor],_2025[conta],"1.02.01"))/(SUMIFS(_2025[valor],_2025[conta],"2.01")+SUMIFS(_2025[valor],_2025[conta],"2.02"))</f>
        <v>1.028981723237598</v>
      </c>
      <c r="H8" s="133"/>
    </row>
    <row r="9" spans="2:9" x14ac:dyDescent="0.25">
      <c r="B9" s="19"/>
      <c r="C9" s="127"/>
      <c r="D9" s="128"/>
      <c r="F9" s="21"/>
      <c r="G9" s="21"/>
    </row>
    <row r="10" spans="2:9" x14ac:dyDescent="0.25">
      <c r="B10" s="126" t="s">
        <v>621</v>
      </c>
      <c r="C10" s="18"/>
    </row>
    <row r="11" spans="2:9" x14ac:dyDescent="0.25">
      <c r="B11" s="19" t="s">
        <v>716</v>
      </c>
      <c r="C11" s="127" t="s">
        <v>719</v>
      </c>
      <c r="D11" s="128" t="s">
        <v>733</v>
      </c>
      <c r="F11" s="135">
        <f>((SUMIFS(_2023[valor],_2023[conta],"1.01.04")+SUMIFS(_2024[valor],_2024[conta],"1.01.04"))/2/ABS(SUMIFS(_2024[valor],_2024[conta],"3.02")))*360</f>
        <v>35.159432215593498</v>
      </c>
      <c r="G11" s="135">
        <f>((SUMIFS(_2024[valor],_2024[conta],"1.01.04")+SUMIFS(_2025[valor],_2025[conta],"1.01.04"))/2/ABS(SUMIFS(_2025[valor],_2025[conta],"3.02")))*360</f>
        <v>75.138625988197305</v>
      </c>
      <c r="H11" s="134"/>
    </row>
    <row r="12" spans="2:9" x14ac:dyDescent="0.25">
      <c r="B12" s="19" t="s">
        <v>660</v>
      </c>
      <c r="C12" s="127" t="s">
        <v>718</v>
      </c>
      <c r="D12" s="128" t="s">
        <v>734</v>
      </c>
      <c r="F12" s="135">
        <f>360/F11</f>
        <v>10.239073196419168</v>
      </c>
      <c r="G12" s="135">
        <f>360/G11</f>
        <v>4.7911443051480394</v>
      </c>
      <c r="H12" s="134"/>
    </row>
    <row r="13" spans="2:9" x14ac:dyDescent="0.25">
      <c r="B13" s="19" t="s">
        <v>715</v>
      </c>
      <c r="C13" s="127" t="s">
        <v>720</v>
      </c>
      <c r="D13" s="128" t="s">
        <v>735</v>
      </c>
      <c r="F13" s="135">
        <f>((SUMIFS(_2023[valor],_2023[conta],"1.01.03.01")+SUMIFS(_2024[valor],_2024[conta],"1.01.03.01"))/2/SUMIFS(_2024[valor],_2024[conta],"3.01"))*360</f>
        <v>22.529793016934978</v>
      </c>
      <c r="G13" s="135">
        <f>((SUMIFS(_2024[valor],_2024[conta],"1.01.03.01")+SUMIFS(_2025[valor],_2025[conta],"1.01.03.01"))/2/SUMIFS(_2025[valor],_2025[conta],"3.01"))*360</f>
        <v>47.731816334823243</v>
      </c>
      <c r="H13" s="134"/>
    </row>
    <row r="14" spans="2:9" x14ac:dyDescent="0.25">
      <c r="B14" s="19" t="s">
        <v>1</v>
      </c>
      <c r="C14" s="127" t="s">
        <v>776</v>
      </c>
      <c r="D14" s="128" t="s">
        <v>739</v>
      </c>
      <c r="F14" s="132">
        <f>ABS(SUMIFS(_2024[valor],_2024[conta],"3.02"))+SUMIFS(_2024[valor],_2024[conta],"1.01.04")-SUMIFS(_2023[valor],_2023[conta],"1.01.04")</f>
        <v>11621000</v>
      </c>
      <c r="G14" s="132">
        <f>ABS(SUMIFS(_2025[valor],_2025[conta],"3.02"))+SUMIFS(_2025[valor],_2025[conta],"1.01.04")-SUMIFS(_2024[valor],_2024[conta],"1.01.04")</f>
        <v>8932000</v>
      </c>
      <c r="H14" s="134"/>
    </row>
    <row r="15" spans="2:9" x14ac:dyDescent="0.25">
      <c r="B15" s="19" t="s">
        <v>717</v>
      </c>
      <c r="C15" s="127" t="s">
        <v>661</v>
      </c>
      <c r="D15" s="128" t="s">
        <v>736</v>
      </c>
      <c r="F15" s="133">
        <f>((SUMIFS(_2023[valor],_2023[conta],"2.01.02")+SUMIFS(_2024[valor],_2024[conta],"2.01.02"))/2/F14)*360</f>
        <v>33.921349281473198</v>
      </c>
      <c r="G15" s="133">
        <f>((SUMIFS(_2024[valor],_2024[conta],"2.01.02")+SUMIFS(_2025[valor],_2025[conta],"2.01.02"))/2/G14)*360</f>
        <v>93.728168383340787</v>
      </c>
      <c r="H15" s="134"/>
    </row>
    <row r="16" spans="2:9" x14ac:dyDescent="0.25">
      <c r="B16" s="19" t="s">
        <v>662</v>
      </c>
      <c r="C16" s="127" t="s">
        <v>721</v>
      </c>
      <c r="D16" s="128" t="s">
        <v>737</v>
      </c>
      <c r="F16" s="133">
        <f>F11+F13</f>
        <v>57.689225232528472</v>
      </c>
      <c r="G16" s="133">
        <f>G11+G13</f>
        <v>122.87044232302054</v>
      </c>
      <c r="H16" s="134"/>
    </row>
    <row r="17" spans="2:8" x14ac:dyDescent="0.25">
      <c r="B17" s="19" t="s">
        <v>663</v>
      </c>
      <c r="C17" s="127" t="s">
        <v>722</v>
      </c>
      <c r="D17" s="128" t="s">
        <v>738</v>
      </c>
      <c r="F17" s="133">
        <f>F16-F15</f>
        <v>23.767875951055274</v>
      </c>
      <c r="G17" s="133">
        <f>G16-G15</f>
        <v>29.142273939679754</v>
      </c>
      <c r="H17" s="134"/>
    </row>
    <row r="18" spans="2:8" x14ac:dyDescent="0.25">
      <c r="B18" s="19" t="s">
        <v>664</v>
      </c>
      <c r="C18" s="127" t="s">
        <v>723</v>
      </c>
      <c r="D18" s="128" t="s">
        <v>719</v>
      </c>
      <c r="F18" s="133">
        <f>F11</f>
        <v>35.159432215593498</v>
      </c>
      <c r="G18" s="133">
        <f>G11</f>
        <v>75.138625988197305</v>
      </c>
      <c r="H18" s="134"/>
    </row>
    <row r="19" spans="2:8" x14ac:dyDescent="0.25">
      <c r="B19" s="20" t="s">
        <v>745</v>
      </c>
      <c r="C19" s="127" t="s">
        <v>724</v>
      </c>
      <c r="D19" s="128" t="s">
        <v>776</v>
      </c>
      <c r="F19" s="132">
        <f>SUMIFS(_2024[valor],_2024[conta],"1.01.01")+SUMIFS(_2024[valor],_2024[conta],"1.01.02")</f>
        <v>1150000</v>
      </c>
      <c r="G19" s="132">
        <f>SUMIFS(_2025[valor],_2025[conta],"1.01.01")+SUMIFS(_2025[valor],_2025[conta],"1.01.02")</f>
        <v>1054000</v>
      </c>
      <c r="H19" s="132"/>
    </row>
    <row r="20" spans="2:8" x14ac:dyDescent="0.25">
      <c r="B20" s="20" t="s">
        <v>744</v>
      </c>
      <c r="C20" s="127" t="s">
        <v>725</v>
      </c>
      <c r="D20" s="128" t="s">
        <v>776</v>
      </c>
      <c r="F20" s="132">
        <f>SUMIFS(_2024[valor],_2024[conta],"1.01")-F19</f>
        <v>5928000</v>
      </c>
      <c r="G20" s="132">
        <f>SUMIFS(_2025[valor],_2025[conta],"1.01")-G19</f>
        <v>6717000</v>
      </c>
      <c r="H20" s="132"/>
    </row>
    <row r="21" spans="2:8" x14ac:dyDescent="0.25">
      <c r="B21" s="129" t="s">
        <v>2</v>
      </c>
      <c r="C21" s="127" t="s">
        <v>731</v>
      </c>
      <c r="D21" s="128" t="s">
        <v>740</v>
      </c>
      <c r="F21" s="132">
        <f>SUM(F19:F20)</f>
        <v>7078000</v>
      </c>
      <c r="G21" s="132">
        <f>SUM(G19:G20)</f>
        <v>7771000</v>
      </c>
      <c r="H21" s="132"/>
    </row>
    <row r="22" spans="2:8" x14ac:dyDescent="0.25">
      <c r="B22" s="20" t="s">
        <v>742</v>
      </c>
      <c r="C22" s="127" t="s">
        <v>726</v>
      </c>
      <c r="D22" s="128" t="s">
        <v>776</v>
      </c>
      <c r="F22" s="132">
        <f>SUMIFS(_2024[valor],_2024[conta],"2.01.04")</f>
        <v>49000</v>
      </c>
      <c r="G22" s="132">
        <f>SUMIFS(_2025[valor],_2025[conta],"2.01.04")</f>
        <v>0</v>
      </c>
      <c r="H22" s="132"/>
    </row>
    <row r="23" spans="2:8" x14ac:dyDescent="0.25">
      <c r="B23" s="20" t="s">
        <v>743</v>
      </c>
      <c r="C23" s="127" t="s">
        <v>727</v>
      </c>
      <c r="D23" s="128" t="s">
        <v>776</v>
      </c>
      <c r="F23" s="132">
        <f>SUMIFS(_2024[valor],_2024[conta],"2.01")-F22</f>
        <v>4333000</v>
      </c>
      <c r="G23" s="132">
        <f>SUMIFS(_2025[valor],_2025[conta],"2.01")-G22</f>
        <v>4664000</v>
      </c>
      <c r="H23" s="132"/>
    </row>
    <row r="24" spans="2:8" x14ac:dyDescent="0.25">
      <c r="B24" s="129" t="s">
        <v>3</v>
      </c>
      <c r="C24" s="127" t="s">
        <v>732</v>
      </c>
      <c r="D24" s="128" t="s">
        <v>741</v>
      </c>
      <c r="F24" s="132">
        <f>SUM(F22:F23)</f>
        <v>4382000</v>
      </c>
      <c r="G24" s="132">
        <f>SUM(G22:G23)</f>
        <v>4664000</v>
      </c>
      <c r="H24" s="132"/>
    </row>
    <row r="25" spans="2:8" x14ac:dyDescent="0.25">
      <c r="B25" s="129"/>
      <c r="C25" s="127"/>
      <c r="D25" s="128"/>
      <c r="F25" s="132"/>
      <c r="G25" s="132"/>
      <c r="H25" s="132"/>
    </row>
    <row r="26" spans="2:8" x14ac:dyDescent="0.25">
      <c r="B26" s="126" t="s">
        <v>622</v>
      </c>
      <c r="C26" s="18"/>
      <c r="D26" s="18"/>
      <c r="F26" s="132"/>
      <c r="G26" s="132"/>
      <c r="H26" s="132"/>
    </row>
    <row r="27" spans="2:8" x14ac:dyDescent="0.25">
      <c r="B27" s="17" t="s">
        <v>748</v>
      </c>
      <c r="C27" s="127" t="s">
        <v>728</v>
      </c>
      <c r="D27" s="128" t="s">
        <v>773</v>
      </c>
      <c r="F27" s="132">
        <f t="shared" ref="F27:G29" si="0">F19-F22</f>
        <v>1101000</v>
      </c>
      <c r="G27" s="132">
        <f t="shared" si="0"/>
        <v>1054000</v>
      </c>
      <c r="H27" s="132"/>
    </row>
    <row r="28" spans="2:8" x14ac:dyDescent="0.25">
      <c r="B28" s="17" t="s">
        <v>747</v>
      </c>
      <c r="C28" s="127" t="s">
        <v>729</v>
      </c>
      <c r="D28" s="128" t="s">
        <v>774</v>
      </c>
      <c r="F28" s="132">
        <f t="shared" si="0"/>
        <v>1595000</v>
      </c>
      <c r="G28" s="132">
        <f t="shared" si="0"/>
        <v>2053000</v>
      </c>
      <c r="H28" s="132"/>
    </row>
    <row r="29" spans="2:8" x14ac:dyDescent="0.25">
      <c r="B29" s="17" t="s">
        <v>746</v>
      </c>
      <c r="C29" s="127" t="s">
        <v>730</v>
      </c>
      <c r="D29" s="128" t="s">
        <v>775</v>
      </c>
      <c r="F29" s="132">
        <f t="shared" si="0"/>
        <v>2696000</v>
      </c>
      <c r="G29" s="132">
        <f t="shared" si="0"/>
        <v>3107000</v>
      </c>
      <c r="H29" s="132"/>
    </row>
    <row r="30" spans="2:8" x14ac:dyDescent="0.25">
      <c r="B30" s="17"/>
      <c r="C30" s="17"/>
      <c r="D30" s="17"/>
    </row>
    <row r="31" spans="2:8" x14ac:dyDescent="0.25">
      <c r="B31" s="126" t="s">
        <v>626</v>
      </c>
      <c r="C31" s="18"/>
      <c r="D31" s="18"/>
    </row>
    <row r="32" spans="2:8" x14ac:dyDescent="0.25">
      <c r="B32" s="19" t="s">
        <v>4</v>
      </c>
      <c r="C32" s="127" t="s">
        <v>755</v>
      </c>
      <c r="D32" s="128" t="s">
        <v>762</v>
      </c>
      <c r="F32" s="133">
        <f>(SUMIFS(_2024[valor],_2024[conta],"2.01")+SUMIFS(_2024[valor],_2024[conta],"2.02"))/SUMIFS(_2024[valor],_2024[conta],"2.03")</f>
        <v>2.5140845070422535</v>
      </c>
      <c r="G32" s="133">
        <f>(SUMIFS(_2025[valor],_2025[conta],"2.01")+SUMIFS(_2025[valor],_2025[conta],"2.02"))/SUMIFS(_2025[valor],_2025[conta],"2.03")</f>
        <v>2.4143727673881066</v>
      </c>
      <c r="H32" s="133"/>
    </row>
    <row r="33" spans="2:8" x14ac:dyDescent="0.25">
      <c r="B33" s="19" t="s">
        <v>5</v>
      </c>
      <c r="C33" s="127" t="s">
        <v>756</v>
      </c>
      <c r="D33" s="128" t="s">
        <v>763</v>
      </c>
      <c r="F33" s="131">
        <f>(SUMIFS(_2024[valor],_2024[conta],"2.01")+SUMIFS(_2024[valor],_2024[conta],"2.02"))/(SUMIFS(_2024[valor],_2024[conta],"2.01")+SUMIFS(_2024[valor],_2024[conta],"2.02")+SUMIFS(_2024[valor],_2024[conta],"2.03"))</f>
        <v>0.71543086172344694</v>
      </c>
      <c r="G33" s="131">
        <f>(SUMIFS(_2025[valor],_2025[conta],"2.01")+SUMIFS(_2025[valor],_2025[conta],"2.02"))/(SUMIFS(_2025[valor],_2025[conta],"2.01")+SUMIFS(_2025[valor],_2025[conta],"2.02")+SUMIFS(_2025[valor],_2025[conta],"2.03"))</f>
        <v>0.70712043818081116</v>
      </c>
      <c r="H33" s="131"/>
    </row>
    <row r="34" spans="2:8" x14ac:dyDescent="0.25">
      <c r="B34" s="19" t="s">
        <v>6</v>
      </c>
      <c r="C34" s="127" t="s">
        <v>757</v>
      </c>
      <c r="D34" s="128" t="s">
        <v>764</v>
      </c>
      <c r="F34" s="133">
        <f>SUMIFS(_2024[valor],_2024[conta],"1")/( SUMIFS(_2024[valor],_2024[conta],"2.01")+SUMIFS(_2024[valor],_2024[conta],"2.02"))</f>
        <v>1.3977591036414565</v>
      </c>
      <c r="G34" s="133">
        <f>SUMIFS(_2025[valor],_2025[conta],"1")/(SUMIFS(_2025[valor],_2025[conta],"2.01")+SUMIFS(_2025[valor],_2025[conta],"2.02"))</f>
        <v>1.4141862489120975</v>
      </c>
      <c r="H34" s="133"/>
    </row>
    <row r="35" spans="2:8" x14ac:dyDescent="0.25">
      <c r="B35" s="19" t="s">
        <v>7</v>
      </c>
      <c r="C35" s="127" t="s">
        <v>723</v>
      </c>
      <c r="D35" s="128" t="s">
        <v>765</v>
      </c>
      <c r="F35" s="131">
        <f>SUMIFS(_2024[valor],_2024[conta],"2.01")/(SUMIFS(_2024[valor],_2024[conta],"2.01")+SUMIFS(_2024[valor],_2024[conta],"2.02"))</f>
        <v>0.35070028011204479</v>
      </c>
      <c r="G35" s="131">
        <f>SUMIFS(_2025[valor],_2025[conta],"2.01")/(SUMIFS(_2025[valor],_2025[conta],"2.01")+SUMIFS(_2025[valor],_2025[conta],"2.02"))</f>
        <v>0.40591818973020016</v>
      </c>
      <c r="H35" s="131"/>
    </row>
    <row r="36" spans="2:8" x14ac:dyDescent="0.25">
      <c r="B36" s="19" t="s">
        <v>8</v>
      </c>
      <c r="C36" s="127" t="s">
        <v>758</v>
      </c>
      <c r="D36" s="128" t="s">
        <v>766</v>
      </c>
      <c r="F36" s="133">
        <f>(SUMIFS(_2024[valor],_2024[conta],"1.02.02")+SUMIFS(_2024[valor],_2024[conta],"1.02.03")+SUMIFS(_2024[valor],_2024[conta],"1.02.04"))/SUMIFS(_2024[valor],_2024[conta],"2.03")</f>
        <v>1.2327967806841047</v>
      </c>
      <c r="G36" s="133">
        <f>(SUMIFS(_2025[valor],_2025[conta],"1.02.02")+SUMIFS(_2025[valor],_2025[conta],"1.02.03")+SUMIFS(_2025[valor],_2025[conta],"1.02.04"))/SUMIFS(_2025[valor],_2025[conta],"2.03")</f>
        <v>0.93002731666316452</v>
      </c>
      <c r="H36" s="133"/>
    </row>
    <row r="37" spans="2:8" x14ac:dyDescent="0.25">
      <c r="B37" s="19" t="s">
        <v>749</v>
      </c>
      <c r="C37" s="127" t="s">
        <v>759</v>
      </c>
      <c r="D37" s="128" t="s">
        <v>767</v>
      </c>
      <c r="F37" s="132">
        <f>SUMIFS(_2024[valor],_2024[conta],"2.01.04")+SUMIFS(_2024[valor],_2024[conta],"2.02.01")</f>
        <v>1782000</v>
      </c>
      <c r="G37" s="132">
        <f>SUMIFS(_2025[valor],_2025[conta],"2.01.04")+SUMIFS(_2025[valor],_2025[conta],"2.02.01")</f>
        <v>1995000</v>
      </c>
    </row>
    <row r="38" spans="2:8" x14ac:dyDescent="0.25">
      <c r="B38" s="19" t="s">
        <v>750</v>
      </c>
      <c r="C38" s="127" t="s">
        <v>760</v>
      </c>
      <c r="D38" s="128" t="s">
        <v>768</v>
      </c>
      <c r="F38" s="132">
        <f>F37-(SUMIFS(_2024[valor],_2024[conta],"1.01.01")+SUMIFS(_2024[valor],_2024[conta],"1.01.02"))</f>
        <v>632000</v>
      </c>
      <c r="G38" s="132">
        <f>G37-(SUMIFS(_2025[valor],_2025[conta],"1.01.01")+SUMIFS(_2025[valor],_2025[conta],"1.01.02"))</f>
        <v>941000</v>
      </c>
    </row>
    <row r="39" spans="2:8" x14ac:dyDescent="0.25">
      <c r="B39" s="19" t="s">
        <v>751</v>
      </c>
      <c r="C39" s="127" t="s">
        <v>761</v>
      </c>
      <c r="D39" s="128" t="s">
        <v>769</v>
      </c>
      <c r="F39" s="132">
        <f>F37+SUMIFS(_2024[valor],_2024[conta],"2.03")</f>
        <v>6752000</v>
      </c>
      <c r="G39" s="132">
        <f>G37+SUMIFS(_2025[valor],_2025[conta],"2.03")</f>
        <v>6754000</v>
      </c>
    </row>
    <row r="40" spans="2:8" x14ac:dyDescent="0.25">
      <c r="B40" s="19" t="s">
        <v>752</v>
      </c>
      <c r="C40" s="127" t="s">
        <v>721</v>
      </c>
      <c r="D40" s="128" t="s">
        <v>770</v>
      </c>
      <c r="F40" s="132">
        <f>F38+SUMIFS(_2024[valor],_2024[conta],"2.03")</f>
        <v>5602000</v>
      </c>
      <c r="G40" s="132">
        <f>G38+SUMIFS(_2025[valor],_2025[conta],"2.03")</f>
        <v>5700000</v>
      </c>
    </row>
    <row r="41" spans="2:8" x14ac:dyDescent="0.25">
      <c r="B41" s="19" t="s">
        <v>753</v>
      </c>
      <c r="C41" s="127" t="s">
        <v>776</v>
      </c>
      <c r="D41" s="128" t="s">
        <v>771</v>
      </c>
      <c r="F41" s="133">
        <f>F38/SUMIFS(_2024[valor],_2024[conta],"2.03")</f>
        <v>0.12716297786720321</v>
      </c>
      <c r="G41" s="133">
        <f>G38/SUMIFS(_2025[valor],_2025[conta],"2.03")</f>
        <v>0.1977306156755621</v>
      </c>
    </row>
    <row r="42" spans="2:8" x14ac:dyDescent="0.25">
      <c r="B42" s="19" t="s">
        <v>754</v>
      </c>
      <c r="C42" s="127" t="s">
        <v>776</v>
      </c>
      <c r="D42" s="128" t="s">
        <v>772</v>
      </c>
      <c r="F42" s="133">
        <f>F38/F40</f>
        <v>0.11281685112459836</v>
      </c>
      <c r="G42" s="133">
        <f>G38/G40</f>
        <v>0.16508771929824562</v>
      </c>
    </row>
    <row r="43" spans="2:8" x14ac:dyDescent="0.25">
      <c r="G43" s="3"/>
    </row>
    <row r="44" spans="2:8" x14ac:dyDescent="0.25">
      <c r="B44" s="126" t="s">
        <v>798</v>
      </c>
      <c r="G44" s="3"/>
    </row>
    <row r="45" spans="2:8" x14ac:dyDescent="0.25">
      <c r="B45" s="19" t="s">
        <v>777</v>
      </c>
      <c r="C45" s="127" t="s">
        <v>784</v>
      </c>
      <c r="D45" s="128" t="s">
        <v>785</v>
      </c>
      <c r="F45" s="131">
        <f>F37/F39</f>
        <v>0.26392180094786732</v>
      </c>
      <c r="G45" s="131">
        <f>G37/G39</f>
        <v>0.29538051525022208</v>
      </c>
    </row>
    <row r="46" spans="2:8" x14ac:dyDescent="0.25">
      <c r="B46" s="19" t="s">
        <v>778</v>
      </c>
      <c r="C46" s="127" t="s">
        <v>786</v>
      </c>
      <c r="D46" s="128" t="s">
        <v>787</v>
      </c>
      <c r="F46" s="131">
        <f>SUMIFS(_2024[valor],_2024[conta],"2.03")/F39</f>
        <v>0.73607819905213268</v>
      </c>
      <c r="G46" s="131">
        <f>SUMIFS(_2025[valor],_2025[conta],"2.03")/G39</f>
        <v>0.70461948474977787</v>
      </c>
    </row>
    <row r="47" spans="2:8" x14ac:dyDescent="0.25">
      <c r="B47" s="19" t="s">
        <v>779</v>
      </c>
      <c r="C47" s="127" t="s">
        <v>788</v>
      </c>
      <c r="D47" s="128" t="s">
        <v>789</v>
      </c>
      <c r="F47" s="132">
        <f>ABS(SUMIFS(_2024[valor],_2024[conta],"3.06.02"))-F48</f>
        <v>2785662.4257845632</v>
      </c>
      <c r="G47" s="132">
        <f>ABS(SUMIFS(_2025[valor],_2025[conta],"3.06.02"))-G48</f>
        <v>661353.29341317364</v>
      </c>
    </row>
    <row r="48" spans="2:8" x14ac:dyDescent="0.25">
      <c r="B48" s="19" t="s">
        <v>780</v>
      </c>
      <c r="C48" s="127" t="s">
        <v>790</v>
      </c>
      <c r="D48" s="128" t="s">
        <v>791</v>
      </c>
      <c r="F48" s="132">
        <f>ABS(SUMIFS(_2024[valor],_2024[conta],"3.06.02"))*F49</f>
        <v>1592337.5742154368</v>
      </c>
      <c r="G48" s="132">
        <f>ABS(SUMIFS(_2025[valor],_2025[conta],"3.06.02"))*G49</f>
        <v>465646.7065868263</v>
      </c>
    </row>
    <row r="49" spans="2:7" x14ac:dyDescent="0.25">
      <c r="B49" s="19" t="s">
        <v>781</v>
      </c>
      <c r="C49" s="127" t="s">
        <v>792</v>
      </c>
      <c r="D49" s="128" t="s">
        <v>793</v>
      </c>
      <c r="F49" s="131">
        <f>IFERROR(-SUMIFS(_2024[valor],_2024[conta],"3.08")/SUMIFS(_2024[valor],_2024[conta],"3.07"),0)</f>
        <v>0.36371347058369957</v>
      </c>
      <c r="G49" s="131">
        <f>IFERROR(-SUMIFS(_2025[valor],_2025[conta],"3.08")/SUMIFS(_2025[valor],_2025[conta],"3.07"),0)</f>
        <v>0.41317365269461076</v>
      </c>
    </row>
    <row r="50" spans="2:7" x14ac:dyDescent="0.25">
      <c r="B50" s="19" t="s">
        <v>782</v>
      </c>
      <c r="C50" s="127" t="s">
        <v>794</v>
      </c>
      <c r="D50" s="128" t="s">
        <v>795</v>
      </c>
      <c r="F50" s="131">
        <f>ABS(SUMIFS(_2024[valor],_2024[conta],"3.06.02"))/F37</f>
        <v>2.4567901234567899</v>
      </c>
      <c r="G50" s="131">
        <f>ABS(SUMIFS(_2025[valor],_2025[conta],"3.06.02"))/G37</f>
        <v>0.56491228070175437</v>
      </c>
    </row>
    <row r="51" spans="2:7" x14ac:dyDescent="0.25">
      <c r="B51" s="19" t="s">
        <v>783</v>
      </c>
      <c r="C51" s="127" t="s">
        <v>796</v>
      </c>
      <c r="D51" s="128" t="s">
        <v>797</v>
      </c>
      <c r="E51" s="130"/>
      <c r="F51" s="131">
        <f>F45*F50*(1-F49)+F46*0.15</f>
        <v>0.52298021708894604</v>
      </c>
      <c r="G51" s="131">
        <f>G45*G50*(1-G49)+G46*0.15</f>
        <v>0.20361316159508047</v>
      </c>
    </row>
    <row r="52" spans="2:7" x14ac:dyDescent="0.25">
      <c r="G52" s="3"/>
    </row>
    <row r="53" spans="2:7" x14ac:dyDescent="0.25">
      <c r="B53" s="126" t="s">
        <v>799</v>
      </c>
      <c r="G53" s="3"/>
    </row>
    <row r="54" spans="2:7" x14ac:dyDescent="0.25">
      <c r="B54" s="19" t="s">
        <v>800</v>
      </c>
      <c r="C54" s="127" t="s">
        <v>801</v>
      </c>
      <c r="D54" s="128" t="s">
        <v>802</v>
      </c>
      <c r="F54" s="131">
        <f>SUMIFS(_2024[valor],_2024[conta],"3.03")/SUMIFS(_2024[valor],_2024[conta],"3.01")</f>
        <v>0.32246149557460452</v>
      </c>
      <c r="G54" s="131">
        <f>SUMIFS(_2025[valor],_2025[conta],"3.03")/SUMIFS(_2025[valor],_2025[conta],"3.01")</f>
        <v>0.27013409183258835</v>
      </c>
    </row>
    <row r="55" spans="2:7" x14ac:dyDescent="0.25">
      <c r="B55" s="19" t="s">
        <v>803</v>
      </c>
      <c r="C55" s="127" t="s">
        <v>803</v>
      </c>
      <c r="D55" s="128" t="s">
        <v>887</v>
      </c>
      <c r="F55" s="132">
        <f>SUMIFS(_2024[valor],_2024[conta],"3.05")+ABS(SUMIFS(_2024[valor],_2024[conta],"7.04.01"))</f>
        <v>1660000</v>
      </c>
      <c r="G55" s="132">
        <f>SUMIFS(_2025[valor],_2025[conta],"3.05")+ABS(SUMIFS(_2025[valor],_2025[conta],"7.04.01"))</f>
        <v>1139000</v>
      </c>
    </row>
    <row r="56" spans="2:7" x14ac:dyDescent="0.25">
      <c r="B56" s="19" t="s">
        <v>804</v>
      </c>
      <c r="C56" s="127" t="s">
        <v>805</v>
      </c>
      <c r="D56" s="128" t="s">
        <v>806</v>
      </c>
      <c r="F56" s="131">
        <f>F55/SUMIFS(_2024[valor],_2024[conta],"3.01")</f>
        <v>0.11568750435570423</v>
      </c>
      <c r="G56" s="131">
        <f>G55/SUMIFS(_2025[valor],_2025[conta],"3.01")</f>
        <v>9.2563998374644449E-2</v>
      </c>
    </row>
    <row r="57" spans="2:7" x14ac:dyDescent="0.25">
      <c r="B57" s="19" t="s">
        <v>807</v>
      </c>
      <c r="C57" s="127" t="s">
        <v>807</v>
      </c>
      <c r="D57" s="128" t="s">
        <v>808</v>
      </c>
      <c r="F57" s="132">
        <f>SUMIFS(_2024[valor],_2024[conta],"3.05")</f>
        <v>650000</v>
      </c>
      <c r="G57" s="132">
        <f>SUMIFS(_2025[valor],_2025[conta],"3.05")</f>
        <v>331000</v>
      </c>
    </row>
    <row r="58" spans="2:7" x14ac:dyDescent="0.25">
      <c r="B58" s="19" t="s">
        <v>809</v>
      </c>
      <c r="C58" s="127" t="s">
        <v>810</v>
      </c>
      <c r="D58" s="128" t="s">
        <v>811</v>
      </c>
      <c r="F58" s="131">
        <f>F57/SUMIFS(_2024[valor],_2024[conta],"3.01")</f>
        <v>4.5299323994703461E-2</v>
      </c>
      <c r="G58" s="131">
        <f>G57/SUMIFS(_2025[valor],_2025[conta],"3.01")</f>
        <v>2.6899634295002032E-2</v>
      </c>
    </row>
    <row r="59" spans="2:7" x14ac:dyDescent="0.25">
      <c r="B59" s="19" t="s">
        <v>812</v>
      </c>
      <c r="C59" s="127" t="s">
        <v>812</v>
      </c>
      <c r="D59" s="128" t="s">
        <v>813</v>
      </c>
      <c r="F59" s="132">
        <f>F57*(1-F49)</f>
        <v>413586.24412059534</v>
      </c>
      <c r="G59" s="132">
        <f>G57*(1-G49)</f>
        <v>194239.52095808383</v>
      </c>
    </row>
    <row r="60" spans="2:7" x14ac:dyDescent="0.25">
      <c r="B60" s="19" t="s">
        <v>814</v>
      </c>
      <c r="C60" s="127" t="s">
        <v>815</v>
      </c>
      <c r="D60" s="128" t="s">
        <v>816</v>
      </c>
      <c r="F60" s="131">
        <f>F59/SUMIFS(_2024[valor],_2024[conta],"3.01")</f>
        <v>2.8823349649494415E-2</v>
      </c>
      <c r="G60" s="131">
        <f>G59/SUMIFS(_2025[valor],_2025[conta],"3.01")</f>
        <v>1.5785414137186822E-2</v>
      </c>
    </row>
    <row r="61" spans="2:7" x14ac:dyDescent="0.25">
      <c r="B61" s="19" t="s">
        <v>817</v>
      </c>
      <c r="C61" s="127" t="s">
        <v>818</v>
      </c>
      <c r="D61" s="128" t="s">
        <v>819</v>
      </c>
      <c r="F61" s="131">
        <f>SUMIFS(_2024[valor],_2024[conta],"3.11")/SUMIFS(_2024[valor],_2024[conta],"3.01")</f>
        <v>0.57711338769252207</v>
      </c>
      <c r="G61" s="131">
        <f>SUMIFS(_2025[valor],_2025[conta],"3.11")/SUMIFS(_2025[valor],_2025[conta],"3.01")</f>
        <v>-2.2023567655424625E-2</v>
      </c>
    </row>
    <row r="62" spans="2:7" x14ac:dyDescent="0.25">
      <c r="B62" s="19" t="s">
        <v>820</v>
      </c>
      <c r="C62" s="127" t="s">
        <v>821</v>
      </c>
      <c r="D62" s="128" t="s">
        <v>822</v>
      </c>
      <c r="F62" s="131">
        <f>F59/F39</f>
        <v>6.1253886866201916E-2</v>
      </c>
      <c r="G62" s="131">
        <f>G59/G39</f>
        <v>2.8759182848398554E-2</v>
      </c>
    </row>
    <row r="63" spans="2:7" x14ac:dyDescent="0.25">
      <c r="B63" s="19" t="s">
        <v>823</v>
      </c>
      <c r="C63" s="127" t="s">
        <v>824</v>
      </c>
      <c r="D63" s="128" t="s">
        <v>825</v>
      </c>
      <c r="F63" s="131">
        <f>SUMIFS(_2024[valor],_2024[conta],"3.11")/SUMIFS(_2024[valor],_2024[conta],"2.03")</f>
        <v>1.6661971830985915</v>
      </c>
      <c r="G63" s="131">
        <f>SUMIFS(_2025[valor],_2025[conta],"3.11")/SUMIFS(_2025[valor],_2025[conta],"2.03")</f>
        <v>-5.694473628913637E-2</v>
      </c>
    </row>
    <row r="64" spans="2:7" x14ac:dyDescent="0.25">
      <c r="B64" s="19" t="s">
        <v>826</v>
      </c>
      <c r="C64" s="127" t="s">
        <v>827</v>
      </c>
      <c r="D64" s="128" t="s">
        <v>828</v>
      </c>
      <c r="F64" s="133">
        <f>F63/F62</f>
        <v>27.201493135253592</v>
      </c>
      <c r="G64" s="133">
        <f>G63/G62</f>
        <v>-1.9800540435837635</v>
      </c>
    </row>
    <row r="65" spans="2:7" x14ac:dyDescent="0.25">
      <c r="G65" s="3"/>
    </row>
    <row r="66" spans="2:7" x14ac:dyDescent="0.25">
      <c r="B66" s="126" t="s">
        <v>837</v>
      </c>
      <c r="G66" s="3"/>
    </row>
    <row r="67" spans="2:7" x14ac:dyDescent="0.25">
      <c r="B67" s="19" t="s">
        <v>829</v>
      </c>
      <c r="C67" s="127" t="s">
        <v>830</v>
      </c>
      <c r="D67" s="128" t="s">
        <v>831</v>
      </c>
      <c r="E67" s="19"/>
      <c r="F67" s="132">
        <f>(F62-F51)*F39</f>
        <v>-3117576.1816639681</v>
      </c>
      <c r="G67" s="132">
        <f>(G62-G51)*G39</f>
        <v>-1180963.7724550895</v>
      </c>
    </row>
    <row r="68" spans="2:7" x14ac:dyDescent="0.25">
      <c r="B68" s="19" t="s">
        <v>832</v>
      </c>
      <c r="C68" s="127" t="s">
        <v>833</v>
      </c>
      <c r="D68" s="128" t="s">
        <v>834</v>
      </c>
      <c r="E68" s="19"/>
      <c r="F68" s="131">
        <f>F62-F51</f>
        <v>-0.46172633022274412</v>
      </c>
      <c r="G68" s="131">
        <f>G62-G51</f>
        <v>-0.1748539787466819</v>
      </c>
    </row>
    <row r="69" spans="2:7" x14ac:dyDescent="0.25">
      <c r="B69" s="19" t="s">
        <v>72</v>
      </c>
      <c r="C69" s="127" t="s">
        <v>776</v>
      </c>
      <c r="D69" s="128" t="s">
        <v>835</v>
      </c>
      <c r="E69" s="19"/>
      <c r="F69" s="132">
        <f>IFERROR(F67/F51,"n/a")</f>
        <v>-5961174.2084954344</v>
      </c>
      <c r="G69" s="132">
        <f>IFERROR(G67/G51,"n/a")</f>
        <v>-5800036.5163212661</v>
      </c>
    </row>
    <row r="70" spans="2:7" x14ac:dyDescent="0.25">
      <c r="G70" s="3"/>
    </row>
    <row r="71" spans="2:7" x14ac:dyDescent="0.25">
      <c r="B71" s="126" t="s">
        <v>836</v>
      </c>
      <c r="G71" s="3"/>
    </row>
    <row r="72" spans="2:7" x14ac:dyDescent="0.25">
      <c r="B72" s="19" t="s">
        <v>838</v>
      </c>
      <c r="C72" s="127" t="s">
        <v>776</v>
      </c>
      <c r="D72" s="128" t="s">
        <v>839</v>
      </c>
      <c r="F72" s="132">
        <v>200244252</v>
      </c>
      <c r="G72" s="132">
        <v>200244998</v>
      </c>
    </row>
    <row r="73" spans="2:7" x14ac:dyDescent="0.25">
      <c r="B73" s="19" t="s">
        <v>840</v>
      </c>
      <c r="C73" s="127" t="s">
        <v>841</v>
      </c>
      <c r="D73" s="128" t="s">
        <v>842</v>
      </c>
      <c r="F73" s="137">
        <f>IFERROR(SUMIFS(_2024[valor],_2024[conta],"2.03")*1000/F72,"-")</f>
        <v>24.819688706969725</v>
      </c>
      <c r="G73" s="137">
        <f>IFERROR(SUMIFS(_2025[valor],_2025[conta],"2.03")*1000/G72,"-")</f>
        <v>23.765887026051956</v>
      </c>
    </row>
    <row r="74" spans="2:7" x14ac:dyDescent="0.25">
      <c r="B74" s="19" t="s">
        <v>843</v>
      </c>
      <c r="C74" s="127" t="s">
        <v>844</v>
      </c>
      <c r="D74" s="128" t="s">
        <v>845</v>
      </c>
      <c r="F74" s="137">
        <v>6.2</v>
      </c>
      <c r="G74" s="137">
        <v>5.13</v>
      </c>
    </row>
    <row r="75" spans="2:7" x14ac:dyDescent="0.25">
      <c r="B75" s="19" t="s">
        <v>846</v>
      </c>
      <c r="C75" s="127" t="s">
        <v>847</v>
      </c>
      <c r="D75" s="128" t="s">
        <v>848</v>
      </c>
      <c r="F75" s="133">
        <f>IFERROR(F74/F73,"-")</f>
        <v>0.24980168257545274</v>
      </c>
      <c r="G75" s="133">
        <f>IFERROR(G74/G73,"-")</f>
        <v>0.21585560826644254</v>
      </c>
    </row>
    <row r="76" spans="2:7" x14ac:dyDescent="0.25">
      <c r="B76" s="19" t="s">
        <v>849</v>
      </c>
      <c r="C76" s="127" t="s">
        <v>776</v>
      </c>
      <c r="D76" s="128" t="s">
        <v>850</v>
      </c>
      <c r="F76" s="133">
        <f>IFERROR(F79/(SUMIFS(_2024[valor],_2024[conta],"2.03")*1000),"-")</f>
        <v>0.24980168257545274</v>
      </c>
      <c r="G76" s="133">
        <f>IFERROR(G79/(SUMIFS(_2025[valor],_2025[conta],"2.03")*1000),"-")</f>
        <v>0.21585560826644254</v>
      </c>
    </row>
    <row r="77" spans="2:7" x14ac:dyDescent="0.25">
      <c r="B77" s="19" t="s">
        <v>851</v>
      </c>
      <c r="C77" s="127" t="s">
        <v>852</v>
      </c>
      <c r="D77" s="128" t="s">
        <v>853</v>
      </c>
      <c r="F77" s="137">
        <f>IFERROR(SUMIFS(_2024[valor],_2024[conta],"3.11")*1000/F72,"-")</f>
        <v>41.354495408936884</v>
      </c>
      <c r="G77" s="137">
        <f>IFERROR(SUMIFS(_2025[valor],_2025[conta],"3.11")*1000/G72,"-")</f>
        <v>-1.3533421693759362</v>
      </c>
    </row>
    <row r="78" spans="2:7" x14ac:dyDescent="0.25">
      <c r="B78" s="19" t="s">
        <v>854</v>
      </c>
      <c r="C78" s="127" t="s">
        <v>855</v>
      </c>
      <c r="D78" s="128" t="s">
        <v>856</v>
      </c>
      <c r="F78" s="133">
        <f>IFERROR(F74/F77,"-")</f>
        <v>0.14992324144427002</v>
      </c>
      <c r="G78" s="133">
        <f>IFERROR(G74/G77,"-")</f>
        <v>-3.7906156447970476</v>
      </c>
    </row>
    <row r="79" spans="2:7" x14ac:dyDescent="0.25">
      <c r="B79" s="19" t="s">
        <v>857</v>
      </c>
      <c r="C79" s="127" t="s">
        <v>858</v>
      </c>
      <c r="D79" s="128" t="s">
        <v>859</v>
      </c>
      <c r="F79" s="132">
        <f>IFERROR(F72*F74,"-")</f>
        <v>1241514362.4000001</v>
      </c>
      <c r="G79" s="132">
        <f>IFERROR(G72*G74,"-")</f>
        <v>1027256839.74</v>
      </c>
    </row>
    <row r="80" spans="2:7" x14ac:dyDescent="0.25">
      <c r="B80" s="19" t="s">
        <v>860</v>
      </c>
      <c r="C80" s="127" t="s">
        <v>861</v>
      </c>
      <c r="D80" s="128" t="s">
        <v>862</v>
      </c>
      <c r="F80" s="136"/>
      <c r="G80" s="136"/>
    </row>
    <row r="81" spans="2:7" x14ac:dyDescent="0.25">
      <c r="B81" s="19" t="s">
        <v>863</v>
      </c>
      <c r="C81" s="127" t="s">
        <v>864</v>
      </c>
      <c r="D81" s="128" t="s">
        <v>865</v>
      </c>
      <c r="F81" s="138">
        <f>IFERROR(F80/F72,"-")</f>
        <v>0</v>
      </c>
      <c r="G81" s="138">
        <f>IFERROR(G80/G72,"-")</f>
        <v>0</v>
      </c>
    </row>
    <row r="82" spans="2:7" x14ac:dyDescent="0.25">
      <c r="B82" s="19" t="s">
        <v>866</v>
      </c>
      <c r="C82" s="127" t="s">
        <v>867</v>
      </c>
      <c r="D82" s="128" t="s">
        <v>868</v>
      </c>
      <c r="F82" s="131">
        <f>IFERROR(F81/F74,"-")</f>
        <v>0</v>
      </c>
      <c r="G82" s="131">
        <f>IFERROR(G81/G74,"-")</f>
        <v>0</v>
      </c>
    </row>
    <row r="83" spans="2:7" x14ac:dyDescent="0.25">
      <c r="B83" s="19" t="s">
        <v>869</v>
      </c>
      <c r="C83" s="127" t="s">
        <v>869</v>
      </c>
      <c r="D83" s="128" t="s">
        <v>870</v>
      </c>
      <c r="F83" s="131">
        <f>IFERROR(F81/F77,"-")</f>
        <v>0</v>
      </c>
      <c r="G83" s="131">
        <f>IFERROR(G81/G77,"-")</f>
        <v>0</v>
      </c>
    </row>
    <row r="84" spans="2:7" x14ac:dyDescent="0.25">
      <c r="B84" s="19" t="s">
        <v>871</v>
      </c>
      <c r="C84" s="127" t="s">
        <v>872</v>
      </c>
      <c r="D84" s="128" t="s">
        <v>873</v>
      </c>
      <c r="F84" s="137" t="str">
        <f>IFERROR(F74-#REF!,"-")</f>
        <v>-</v>
      </c>
      <c r="G84" s="137">
        <f>IFERROR(G74-F74,"-")</f>
        <v>-1.0700000000000003</v>
      </c>
    </row>
    <row r="85" spans="2:7" x14ac:dyDescent="0.25">
      <c r="B85" s="19" t="s">
        <v>874</v>
      </c>
      <c r="C85" s="127" t="s">
        <v>776</v>
      </c>
      <c r="D85" s="128" t="s">
        <v>875</v>
      </c>
      <c r="F85" s="131" t="str">
        <f>IFERROR(F84/#REF!,"-")</f>
        <v>-</v>
      </c>
      <c r="G85" s="131">
        <f>IFERROR(G84/F74,"-")</f>
        <v>-0.17258064516129037</v>
      </c>
    </row>
    <row r="86" spans="2:7" x14ac:dyDescent="0.25">
      <c r="B86" s="19" t="s">
        <v>876</v>
      </c>
      <c r="C86" s="127" t="s">
        <v>877</v>
      </c>
      <c r="D86" s="128" t="s">
        <v>878</v>
      </c>
      <c r="F86" s="131" t="str">
        <f>IFERROR((F81+F84)/#REF!,"-")</f>
        <v>-</v>
      </c>
      <c r="G86" s="131">
        <f>IFERROR((G81+G84)/F74,"-")</f>
        <v>-0.17258064516129037</v>
      </c>
    </row>
    <row r="87" spans="2:7" x14ac:dyDescent="0.25">
      <c r="B87" s="19" t="s">
        <v>879</v>
      </c>
      <c r="C87" s="127" t="s">
        <v>880</v>
      </c>
      <c r="D87" s="128" t="s">
        <v>881</v>
      </c>
      <c r="F87" s="132">
        <f>IFERROR(F79+F38,"-")</f>
        <v>1242146362.4000001</v>
      </c>
      <c r="G87" s="132">
        <f>IFERROR(G79+G38,"-")</f>
        <v>1028197839.74</v>
      </c>
    </row>
    <row r="88" spans="2:7" x14ac:dyDescent="0.25">
      <c r="B88" s="19" t="s">
        <v>882</v>
      </c>
      <c r="C88" s="127" t="s">
        <v>776</v>
      </c>
      <c r="D88" s="128" t="s">
        <v>882</v>
      </c>
      <c r="F88" s="133">
        <f>IFERROR(F87/(F55*1000),"-")</f>
        <v>0.74828094120481936</v>
      </c>
      <c r="G88" s="133">
        <f>IFERROR(G87/(G55*1000),"-")</f>
        <v>0.90271978906057948</v>
      </c>
    </row>
    <row r="89" spans="2:7" x14ac:dyDescent="0.25">
      <c r="B89" s="19" t="s">
        <v>883</v>
      </c>
      <c r="C89" s="127" t="s">
        <v>776</v>
      </c>
      <c r="D89" s="128" t="s">
        <v>883</v>
      </c>
      <c r="F89" s="133">
        <f>IFERROR(F87/(SUMIFS(_2024[valor],_2024[conta],"3.01")*1000),"-")</f>
        <v>8.6566754644923E-2</v>
      </c>
      <c r="G89" s="133">
        <f>IFERROR(G87/(SUMIFS(_2025[valor],_2025[conta],"3.01")*1000),"-")</f>
        <v>8.3559353087362856E-2</v>
      </c>
    </row>
    <row r="90" spans="2:7" x14ac:dyDescent="0.25">
      <c r="B90" s="19" t="s">
        <v>884</v>
      </c>
      <c r="C90" s="127" t="s">
        <v>885</v>
      </c>
      <c r="D90" s="128" t="s">
        <v>886</v>
      </c>
      <c r="F90" s="133">
        <f>IFERROR((F55*1000)/F87,"-")</f>
        <v>1.3363964587817561</v>
      </c>
      <c r="G90" s="133">
        <f>IFERROR((G55*1000)/G87,"-")</f>
        <v>1.107763463389515</v>
      </c>
    </row>
  </sheetData>
  <pageMargins left="0.511811024" right="0.511811024" top="0.78740157499999996" bottom="0.78740157499999996" header="0.31496062000000002" footer="0.31496062000000002"/>
  <ignoredErrors>
    <ignoredError sqref="F57:G58 G59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1F54-FB9C-4ED8-B90A-516E003583F4}">
  <dimension ref="B1:O146"/>
  <sheetViews>
    <sheetView showGridLines="0" topLeftCell="F1" zoomScale="91" zoomScaleNormal="91" workbookViewId="0">
      <selection activeCell="I25" sqref="I25"/>
    </sheetView>
  </sheetViews>
  <sheetFormatPr defaultRowHeight="15" x14ac:dyDescent="0.25"/>
  <cols>
    <col min="1" max="1" width="9.140625" style="3"/>
    <col min="2" max="2" width="13.7109375" style="3" bestFit="1" customWidth="1"/>
    <col min="3" max="3" width="98.5703125" style="3" bestFit="1" customWidth="1"/>
    <col min="4" max="4" width="9.140625" style="3"/>
    <col min="5" max="5" width="13.7109375" style="3" bestFit="1" customWidth="1"/>
    <col min="6" max="6" width="70.28515625" style="3" bestFit="1" customWidth="1"/>
    <col min="7" max="7" width="9.140625" style="3"/>
    <col min="8" max="8" width="10.7109375" style="3" bestFit="1" customWidth="1"/>
    <col min="9" max="9" width="74.140625" style="3" bestFit="1" customWidth="1"/>
    <col min="10" max="10" width="9.140625" style="3"/>
    <col min="11" max="11" width="10.7109375" style="3" bestFit="1" customWidth="1"/>
    <col min="12" max="12" width="74.5703125" style="3" bestFit="1" customWidth="1"/>
    <col min="13" max="13" width="9.140625" style="3"/>
    <col min="14" max="14" width="10.7109375" style="3" bestFit="1" customWidth="1"/>
    <col min="15" max="15" width="56" style="3" bestFit="1" customWidth="1"/>
    <col min="16" max="16384" width="9.140625" style="3"/>
  </cols>
  <sheetData>
    <row r="1" spans="2:15" s="23" customFormat="1" ht="41.25" customHeight="1" x14ac:dyDescent="0.25">
      <c r="B1" s="22"/>
      <c r="D1" s="24"/>
      <c r="E1" s="24"/>
    </row>
    <row r="3" spans="2:15" ht="15.75" x14ac:dyDescent="0.25">
      <c r="B3" s="139" t="s">
        <v>656</v>
      </c>
      <c r="C3" s="139"/>
      <c r="E3" s="139" t="s">
        <v>657</v>
      </c>
      <c r="F3" s="139"/>
      <c r="H3" s="139" t="s">
        <v>658</v>
      </c>
      <c r="I3" s="139"/>
      <c r="K3" s="139" t="s">
        <v>659</v>
      </c>
      <c r="L3" s="139"/>
      <c r="N3" s="139"/>
      <c r="O3" s="139"/>
    </row>
    <row r="4" spans="2:15" ht="15.75" x14ac:dyDescent="0.25">
      <c r="B4" s="29" t="s">
        <v>624</v>
      </c>
      <c r="C4" s="29" t="s">
        <v>625</v>
      </c>
      <c r="E4" s="29" t="s">
        <v>624</v>
      </c>
      <c r="F4" s="29" t="s">
        <v>625</v>
      </c>
      <c r="H4" s="29" t="s">
        <v>624</v>
      </c>
      <c r="I4" s="29" t="s">
        <v>625</v>
      </c>
      <c r="K4" s="29" t="s">
        <v>624</v>
      </c>
      <c r="L4" s="29" t="s">
        <v>625</v>
      </c>
      <c r="N4" s="29" t="s">
        <v>624</v>
      </c>
      <c r="O4" s="29" t="s">
        <v>625</v>
      </c>
    </row>
    <row r="5" spans="2:15" x14ac:dyDescent="0.25">
      <c r="B5" s="3" t="s">
        <v>277</v>
      </c>
      <c r="C5" s="3" t="s">
        <v>20</v>
      </c>
      <c r="E5" s="3" t="s">
        <v>353</v>
      </c>
      <c r="F5" s="3" t="s">
        <v>73</v>
      </c>
      <c r="H5" s="3" t="s">
        <v>484</v>
      </c>
      <c r="I5" s="8" t="s">
        <v>161</v>
      </c>
      <c r="K5" s="3" t="s">
        <v>516</v>
      </c>
      <c r="L5" s="8" t="s">
        <v>192</v>
      </c>
      <c r="N5" s="3" t="s">
        <v>578</v>
      </c>
      <c r="O5" s="8" t="s">
        <v>243</v>
      </c>
    </row>
    <row r="6" spans="2:15" x14ac:dyDescent="0.25">
      <c r="B6" s="3" t="s">
        <v>278</v>
      </c>
      <c r="C6" s="8" t="s">
        <v>2</v>
      </c>
      <c r="E6" s="3" t="s">
        <v>354</v>
      </c>
      <c r="F6" s="8" t="s">
        <v>3</v>
      </c>
      <c r="H6" s="3" t="s">
        <v>485</v>
      </c>
      <c r="I6" s="8" t="s">
        <v>162</v>
      </c>
      <c r="K6" s="3" t="s">
        <v>517</v>
      </c>
      <c r="L6" s="9" t="s">
        <v>193</v>
      </c>
      <c r="N6" s="3" t="s">
        <v>579</v>
      </c>
      <c r="O6" s="9" t="s">
        <v>244</v>
      </c>
    </row>
    <row r="7" spans="2:15" x14ac:dyDescent="0.25">
      <c r="B7" s="3" t="s">
        <v>279</v>
      </c>
      <c r="C7" s="9" t="s">
        <v>22</v>
      </c>
      <c r="E7" s="3" t="s">
        <v>355</v>
      </c>
      <c r="F7" s="9" t="s">
        <v>74</v>
      </c>
      <c r="H7" s="3" t="s">
        <v>486</v>
      </c>
      <c r="I7" s="8" t="s">
        <v>163</v>
      </c>
      <c r="K7" s="3" t="s">
        <v>518</v>
      </c>
      <c r="L7" s="10" t="s">
        <v>194</v>
      </c>
      <c r="N7" s="3" t="s">
        <v>580</v>
      </c>
      <c r="O7" s="9" t="s">
        <v>245</v>
      </c>
    </row>
    <row r="8" spans="2:15" x14ac:dyDescent="0.25">
      <c r="B8" s="3" t="s">
        <v>280</v>
      </c>
      <c r="C8" s="9" t="s">
        <v>23</v>
      </c>
      <c r="E8" s="3" t="s">
        <v>356</v>
      </c>
      <c r="F8" s="10" t="s">
        <v>75</v>
      </c>
      <c r="H8" s="3" t="s">
        <v>487</v>
      </c>
      <c r="I8" s="8" t="s">
        <v>164</v>
      </c>
      <c r="K8" s="3" t="s">
        <v>519</v>
      </c>
      <c r="L8" s="10" t="s">
        <v>195</v>
      </c>
      <c r="N8" s="3" t="s">
        <v>581</v>
      </c>
      <c r="O8" s="9" t="s">
        <v>246</v>
      </c>
    </row>
    <row r="9" spans="2:15" x14ac:dyDescent="0.25">
      <c r="B9" s="3" t="s">
        <v>281</v>
      </c>
      <c r="C9" s="10" t="s">
        <v>24</v>
      </c>
      <c r="E9" s="3" t="s">
        <v>357</v>
      </c>
      <c r="F9" s="10" t="s">
        <v>76</v>
      </c>
      <c r="H9" s="3" t="s">
        <v>488</v>
      </c>
      <c r="I9" s="9" t="s">
        <v>165</v>
      </c>
      <c r="K9" s="3" t="s">
        <v>520</v>
      </c>
      <c r="L9" s="10" t="s">
        <v>196</v>
      </c>
      <c r="N9" s="3" t="s">
        <v>582</v>
      </c>
      <c r="O9" s="9" t="s">
        <v>247</v>
      </c>
    </row>
    <row r="10" spans="2:15" x14ac:dyDescent="0.25">
      <c r="B10" s="3" t="s">
        <v>282</v>
      </c>
      <c r="C10" s="11" t="s">
        <v>25</v>
      </c>
      <c r="E10" s="3" t="s">
        <v>358</v>
      </c>
      <c r="F10" s="11" t="s">
        <v>77</v>
      </c>
      <c r="H10" s="3" t="s">
        <v>489</v>
      </c>
      <c r="I10" s="9" t="s">
        <v>166</v>
      </c>
      <c r="K10" s="3" t="s">
        <v>521</v>
      </c>
      <c r="L10" s="10" t="s">
        <v>197</v>
      </c>
      <c r="N10" s="3" t="s">
        <v>583</v>
      </c>
      <c r="O10" s="8" t="s">
        <v>248</v>
      </c>
    </row>
    <row r="11" spans="2:15" x14ac:dyDescent="0.25">
      <c r="B11" s="3" t="s">
        <v>283</v>
      </c>
      <c r="C11" s="11" t="s">
        <v>26</v>
      </c>
      <c r="E11" s="3" t="s">
        <v>359</v>
      </c>
      <c r="F11" s="9" t="s">
        <v>78</v>
      </c>
      <c r="H11" s="3" t="s">
        <v>490</v>
      </c>
      <c r="I11" s="9" t="s">
        <v>167</v>
      </c>
      <c r="K11" s="3" t="s">
        <v>522</v>
      </c>
      <c r="L11" s="10" t="s">
        <v>198</v>
      </c>
      <c r="N11" s="3" t="s">
        <v>584</v>
      </c>
      <c r="O11" s="9" t="s">
        <v>249</v>
      </c>
    </row>
    <row r="12" spans="2:15" x14ac:dyDescent="0.25">
      <c r="B12" s="3" t="s">
        <v>284</v>
      </c>
      <c r="C12" s="11" t="s">
        <v>27</v>
      </c>
      <c r="E12" s="3" t="s">
        <v>360</v>
      </c>
      <c r="F12" s="10" t="s">
        <v>79</v>
      </c>
      <c r="H12" s="3" t="s">
        <v>491</v>
      </c>
      <c r="I12" s="9" t="s">
        <v>168</v>
      </c>
      <c r="K12" s="3" t="s">
        <v>523</v>
      </c>
      <c r="L12" s="10" t="s">
        <v>199</v>
      </c>
      <c r="N12" s="3" t="s">
        <v>585</v>
      </c>
      <c r="O12" s="9" t="s">
        <v>250</v>
      </c>
    </row>
    <row r="13" spans="2:15" x14ac:dyDescent="0.25">
      <c r="B13" s="3" t="s">
        <v>285</v>
      </c>
      <c r="C13" s="11" t="s">
        <v>28</v>
      </c>
      <c r="E13" s="3" t="s">
        <v>361</v>
      </c>
      <c r="F13" s="11" t="s">
        <v>79</v>
      </c>
      <c r="H13" s="3" t="s">
        <v>492</v>
      </c>
      <c r="I13" s="9" t="s">
        <v>169</v>
      </c>
      <c r="K13" s="3" t="s">
        <v>524</v>
      </c>
      <c r="L13" s="10" t="s">
        <v>200</v>
      </c>
      <c r="N13" s="3" t="s">
        <v>586</v>
      </c>
      <c r="O13" s="9" t="s">
        <v>251</v>
      </c>
    </row>
    <row r="14" spans="2:15" x14ac:dyDescent="0.25">
      <c r="B14" s="3" t="s">
        <v>286</v>
      </c>
      <c r="C14" s="10" t="s">
        <v>29</v>
      </c>
      <c r="E14" s="3" t="s">
        <v>362</v>
      </c>
      <c r="F14" s="10" t="s">
        <v>80</v>
      </c>
      <c r="H14" s="3" t="s">
        <v>493</v>
      </c>
      <c r="I14" s="10" t="s">
        <v>170</v>
      </c>
      <c r="K14" s="3" t="s">
        <v>525</v>
      </c>
      <c r="L14" s="10" t="s">
        <v>201</v>
      </c>
      <c r="N14" s="3" t="s">
        <v>587</v>
      </c>
      <c r="O14" s="9" t="s">
        <v>44</v>
      </c>
    </row>
    <row r="15" spans="2:15" x14ac:dyDescent="0.25">
      <c r="B15" s="3" t="s">
        <v>287</v>
      </c>
      <c r="C15" s="10" t="s">
        <v>30</v>
      </c>
      <c r="E15" s="3" t="s">
        <v>363</v>
      </c>
      <c r="F15" s="9" t="s">
        <v>81</v>
      </c>
      <c r="H15" s="3" t="s">
        <v>494</v>
      </c>
      <c r="I15" s="10" t="s">
        <v>171</v>
      </c>
      <c r="K15" s="3" t="s">
        <v>526</v>
      </c>
      <c r="L15" s="10" t="s">
        <v>202</v>
      </c>
      <c r="N15" s="3" t="s">
        <v>588</v>
      </c>
      <c r="O15" s="8" t="s">
        <v>252</v>
      </c>
    </row>
    <row r="16" spans="2:15" x14ac:dyDescent="0.25">
      <c r="B16" s="3" t="s">
        <v>288</v>
      </c>
      <c r="C16" s="9" t="s">
        <v>31</v>
      </c>
      <c r="E16" s="3" t="s">
        <v>364</v>
      </c>
      <c r="F16" s="10" t="s">
        <v>82</v>
      </c>
      <c r="H16" s="3" t="s">
        <v>495</v>
      </c>
      <c r="I16" s="9" t="s">
        <v>172</v>
      </c>
      <c r="K16" s="3" t="s">
        <v>527</v>
      </c>
      <c r="L16" s="10" t="s">
        <v>203</v>
      </c>
      <c r="N16" s="3" t="s">
        <v>589</v>
      </c>
      <c r="O16" s="8" t="s">
        <v>253</v>
      </c>
    </row>
    <row r="17" spans="2:15" x14ac:dyDescent="0.25">
      <c r="B17" s="3" t="s">
        <v>289</v>
      </c>
      <c r="C17" s="10" t="s">
        <v>32</v>
      </c>
      <c r="E17" s="3" t="s">
        <v>365</v>
      </c>
      <c r="F17" s="11" t="s">
        <v>83</v>
      </c>
      <c r="H17" s="3" t="s">
        <v>496</v>
      </c>
      <c r="I17" s="8" t="s">
        <v>173</v>
      </c>
      <c r="K17" s="3" t="s">
        <v>528</v>
      </c>
      <c r="L17" s="10" t="s">
        <v>204</v>
      </c>
      <c r="N17" s="3" t="s">
        <v>590</v>
      </c>
      <c r="O17" s="9" t="s">
        <v>254</v>
      </c>
    </row>
    <row r="18" spans="2:15" x14ac:dyDescent="0.25">
      <c r="B18" s="3" t="s">
        <v>290</v>
      </c>
      <c r="C18" s="10" t="s">
        <v>33</v>
      </c>
      <c r="E18" s="3" t="s">
        <v>366</v>
      </c>
      <c r="F18" s="11" t="s">
        <v>84</v>
      </c>
      <c r="H18" s="3" t="s">
        <v>497</v>
      </c>
      <c r="I18" s="8" t="s">
        <v>174</v>
      </c>
      <c r="K18" s="3" t="s">
        <v>529</v>
      </c>
      <c r="L18" s="10" t="s">
        <v>44</v>
      </c>
      <c r="N18" s="3" t="s">
        <v>591</v>
      </c>
      <c r="O18" s="9" t="s">
        <v>255</v>
      </c>
    </row>
    <row r="19" spans="2:15" x14ac:dyDescent="0.25">
      <c r="B19" s="3" t="s">
        <v>291</v>
      </c>
      <c r="C19" s="9" t="s">
        <v>34</v>
      </c>
      <c r="E19" s="3" t="s">
        <v>367</v>
      </c>
      <c r="F19" s="11" t="s">
        <v>85</v>
      </c>
      <c r="H19" s="3" t="s">
        <v>498</v>
      </c>
      <c r="I19" s="9" t="s">
        <v>175</v>
      </c>
      <c r="K19" s="3" t="s">
        <v>530</v>
      </c>
      <c r="L19" s="9" t="s">
        <v>205</v>
      </c>
      <c r="N19" s="3" t="s">
        <v>592</v>
      </c>
      <c r="O19" s="10" t="s">
        <v>256</v>
      </c>
    </row>
    <row r="20" spans="2:15" x14ac:dyDescent="0.25">
      <c r="B20" s="3" t="s">
        <v>292</v>
      </c>
      <c r="C20" s="10" t="s">
        <v>34</v>
      </c>
      <c r="E20" s="3" t="s">
        <v>368</v>
      </c>
      <c r="F20" s="11" t="s">
        <v>86</v>
      </c>
      <c r="H20" s="3" t="s">
        <v>499</v>
      </c>
      <c r="I20" s="9" t="s">
        <v>176</v>
      </c>
      <c r="K20" s="3" t="s">
        <v>531</v>
      </c>
      <c r="L20" s="10" t="s">
        <v>206</v>
      </c>
      <c r="N20" s="3" t="s">
        <v>593</v>
      </c>
      <c r="O20" s="8" t="s">
        <v>257</v>
      </c>
    </row>
    <row r="21" spans="2:15" x14ac:dyDescent="0.25">
      <c r="B21" s="3" t="s">
        <v>293</v>
      </c>
      <c r="C21" s="9" t="s">
        <v>35</v>
      </c>
      <c r="E21" s="3" t="s">
        <v>369</v>
      </c>
      <c r="F21" s="11" t="s">
        <v>44</v>
      </c>
      <c r="H21" s="3" t="s">
        <v>500</v>
      </c>
      <c r="I21" s="8" t="s">
        <v>177</v>
      </c>
      <c r="K21" s="3" t="s">
        <v>532</v>
      </c>
      <c r="L21" s="10" t="s">
        <v>34</v>
      </c>
      <c r="N21" s="3" t="s">
        <v>594</v>
      </c>
      <c r="O21" s="8" t="s">
        <v>258</v>
      </c>
    </row>
    <row r="22" spans="2:15" x14ac:dyDescent="0.25">
      <c r="B22" s="3" t="s">
        <v>294</v>
      </c>
      <c r="C22" s="9" t="s">
        <v>36</v>
      </c>
      <c r="E22" s="3" t="s">
        <v>370</v>
      </c>
      <c r="F22" s="11" t="s">
        <v>87</v>
      </c>
      <c r="H22" s="3" t="s">
        <v>501</v>
      </c>
      <c r="I22" s="8" t="s">
        <v>178</v>
      </c>
      <c r="K22" s="3" t="s">
        <v>533</v>
      </c>
      <c r="L22" s="10" t="s">
        <v>207</v>
      </c>
      <c r="N22" s="3" t="s">
        <v>595</v>
      </c>
      <c r="O22" s="9" t="s">
        <v>172</v>
      </c>
    </row>
    <row r="23" spans="2:15" x14ac:dyDescent="0.25">
      <c r="B23" s="3" t="s">
        <v>295</v>
      </c>
      <c r="C23" s="10" t="s">
        <v>37</v>
      </c>
      <c r="E23" s="3" t="s">
        <v>371</v>
      </c>
      <c r="F23" s="10" t="s">
        <v>88</v>
      </c>
      <c r="H23" s="3" t="s">
        <v>502</v>
      </c>
      <c r="I23" s="9" t="s">
        <v>179</v>
      </c>
      <c r="K23" s="3" t="s">
        <v>534</v>
      </c>
      <c r="L23" s="10" t="s">
        <v>208</v>
      </c>
      <c r="N23" s="3" t="s">
        <v>596</v>
      </c>
      <c r="O23" s="9" t="s">
        <v>175</v>
      </c>
    </row>
    <row r="24" spans="2:15" x14ac:dyDescent="0.25">
      <c r="B24" s="3" t="s">
        <v>296</v>
      </c>
      <c r="C24" s="11" t="s">
        <v>38</v>
      </c>
      <c r="E24" s="3" t="s">
        <v>372</v>
      </c>
      <c r="F24" s="11" t="s">
        <v>89</v>
      </c>
      <c r="H24" s="3" t="s">
        <v>503</v>
      </c>
      <c r="I24" s="9" t="s">
        <v>180</v>
      </c>
      <c r="K24" s="3" t="s">
        <v>535</v>
      </c>
      <c r="L24" s="10" t="s">
        <v>48</v>
      </c>
      <c r="N24" s="3" t="s">
        <v>597</v>
      </c>
      <c r="O24" s="9" t="s">
        <v>44</v>
      </c>
    </row>
    <row r="25" spans="2:15" x14ac:dyDescent="0.25">
      <c r="B25" s="3" t="s">
        <v>297</v>
      </c>
      <c r="C25" s="11" t="s">
        <v>39</v>
      </c>
      <c r="E25" s="3" t="s">
        <v>373</v>
      </c>
      <c r="F25" s="11" t="s">
        <v>90</v>
      </c>
      <c r="H25" s="3" t="s">
        <v>504</v>
      </c>
      <c r="I25" s="8" t="s">
        <v>181</v>
      </c>
      <c r="K25" s="3" t="s">
        <v>536</v>
      </c>
      <c r="L25" s="10" t="s">
        <v>209</v>
      </c>
      <c r="N25" s="3" t="s">
        <v>598</v>
      </c>
      <c r="O25" s="8" t="s">
        <v>259</v>
      </c>
    </row>
    <row r="26" spans="2:15" x14ac:dyDescent="0.25">
      <c r="B26" s="3" t="s">
        <v>298</v>
      </c>
      <c r="C26" s="9" t="s">
        <v>40</v>
      </c>
      <c r="E26" s="3" t="s">
        <v>374</v>
      </c>
      <c r="F26" s="10" t="s">
        <v>91</v>
      </c>
      <c r="H26" s="3" t="s">
        <v>505</v>
      </c>
      <c r="I26" s="8" t="s">
        <v>182</v>
      </c>
      <c r="K26" s="3" t="s">
        <v>537</v>
      </c>
      <c r="L26" s="10" t="s">
        <v>78</v>
      </c>
      <c r="N26" s="3" t="s">
        <v>599</v>
      </c>
      <c r="O26" s="8" t="s">
        <v>260</v>
      </c>
    </row>
    <row r="27" spans="2:15" x14ac:dyDescent="0.25">
      <c r="B27" s="3" t="s">
        <v>299</v>
      </c>
      <c r="C27" s="10" t="s">
        <v>40</v>
      </c>
      <c r="E27" s="3" t="s">
        <v>375</v>
      </c>
      <c r="F27" s="11" t="s">
        <v>92</v>
      </c>
      <c r="H27" s="3" t="s">
        <v>506</v>
      </c>
      <c r="I27" s="9" t="s">
        <v>183</v>
      </c>
      <c r="K27" s="3" t="s">
        <v>538</v>
      </c>
      <c r="L27" s="10" t="s">
        <v>110</v>
      </c>
      <c r="N27" s="3" t="s">
        <v>600</v>
      </c>
      <c r="O27" s="9" t="s">
        <v>261</v>
      </c>
    </row>
    <row r="28" spans="2:15" x14ac:dyDescent="0.25">
      <c r="B28" s="3" t="s">
        <v>300</v>
      </c>
      <c r="C28" s="9" t="s">
        <v>41</v>
      </c>
      <c r="E28" s="3" t="s">
        <v>376</v>
      </c>
      <c r="F28" s="9" t="s">
        <v>93</v>
      </c>
      <c r="H28" s="3" t="s">
        <v>507</v>
      </c>
      <c r="I28" s="9" t="s">
        <v>184</v>
      </c>
      <c r="K28" s="3" t="s">
        <v>539</v>
      </c>
      <c r="L28" s="10" t="s">
        <v>210</v>
      </c>
      <c r="N28" s="3" t="s">
        <v>601</v>
      </c>
      <c r="O28" s="10" t="s">
        <v>262</v>
      </c>
    </row>
    <row r="29" spans="2:15" x14ac:dyDescent="0.25">
      <c r="B29" s="3" t="s">
        <v>301</v>
      </c>
      <c r="C29" s="10" t="s">
        <v>42</v>
      </c>
      <c r="E29" s="3" t="s">
        <v>377</v>
      </c>
      <c r="F29" s="10" t="s">
        <v>93</v>
      </c>
      <c r="H29" s="3" t="s">
        <v>508</v>
      </c>
      <c r="I29" s="8" t="s">
        <v>185</v>
      </c>
      <c r="K29" s="3" t="s">
        <v>540</v>
      </c>
      <c r="L29" s="10" t="s">
        <v>211</v>
      </c>
      <c r="N29" s="3" t="s">
        <v>602</v>
      </c>
      <c r="O29" s="10" t="s">
        <v>263</v>
      </c>
    </row>
    <row r="30" spans="2:15" x14ac:dyDescent="0.25">
      <c r="B30" s="3" t="s">
        <v>302</v>
      </c>
      <c r="C30" s="10" t="s">
        <v>43</v>
      </c>
      <c r="E30" s="3" t="s">
        <v>378</v>
      </c>
      <c r="F30" s="11" t="s">
        <v>94</v>
      </c>
      <c r="H30" s="3" t="s">
        <v>509</v>
      </c>
      <c r="I30" s="9" t="s">
        <v>186</v>
      </c>
      <c r="K30" s="3" t="s">
        <v>541</v>
      </c>
      <c r="L30" s="10" t="s">
        <v>212</v>
      </c>
      <c r="N30" s="3" t="s">
        <v>603</v>
      </c>
      <c r="O30" s="10" t="s">
        <v>264</v>
      </c>
    </row>
    <row r="31" spans="2:15" x14ac:dyDescent="0.25">
      <c r="B31" s="3" t="s">
        <v>303</v>
      </c>
      <c r="C31" s="10" t="s">
        <v>44</v>
      </c>
      <c r="E31" s="3" t="s">
        <v>379</v>
      </c>
      <c r="F31" s="11" t="s">
        <v>95</v>
      </c>
      <c r="H31" s="3" t="s">
        <v>510</v>
      </c>
      <c r="I31" s="9" t="s">
        <v>187</v>
      </c>
      <c r="K31" s="3" t="s">
        <v>542</v>
      </c>
      <c r="L31" s="10" t="s">
        <v>213</v>
      </c>
      <c r="N31" s="3" t="s">
        <v>604</v>
      </c>
      <c r="O31" s="10" t="s">
        <v>44</v>
      </c>
    </row>
    <row r="32" spans="2:15" x14ac:dyDescent="0.25">
      <c r="B32" s="3" t="s">
        <v>304</v>
      </c>
      <c r="C32" s="11" t="s">
        <v>44</v>
      </c>
      <c r="E32" s="3" t="s">
        <v>380</v>
      </c>
      <c r="F32" s="10" t="s">
        <v>96</v>
      </c>
      <c r="H32" s="3" t="s">
        <v>511</v>
      </c>
      <c r="I32" s="8" t="s">
        <v>188</v>
      </c>
      <c r="K32" s="3" t="s">
        <v>543</v>
      </c>
      <c r="L32" s="10" t="s">
        <v>214</v>
      </c>
      <c r="N32" s="3" t="s">
        <v>605</v>
      </c>
      <c r="O32" s="9" t="s">
        <v>265</v>
      </c>
    </row>
    <row r="33" spans="2:15" x14ac:dyDescent="0.25">
      <c r="B33" s="3" t="s">
        <v>305</v>
      </c>
      <c r="C33" s="11" t="s">
        <v>45</v>
      </c>
      <c r="E33" s="3" t="s">
        <v>381</v>
      </c>
      <c r="F33" s="11" t="s">
        <v>96</v>
      </c>
      <c r="H33" s="3" t="s">
        <v>512</v>
      </c>
      <c r="I33" s="9" t="s">
        <v>189</v>
      </c>
      <c r="K33" s="3" t="s">
        <v>544</v>
      </c>
      <c r="L33" s="10" t="s">
        <v>215</v>
      </c>
      <c r="N33" s="3" t="s">
        <v>606</v>
      </c>
      <c r="O33" s="10" t="s">
        <v>266</v>
      </c>
    </row>
    <row r="34" spans="2:15" x14ac:dyDescent="0.25">
      <c r="B34" s="3" t="s">
        <v>306</v>
      </c>
      <c r="C34" s="8" t="s">
        <v>46</v>
      </c>
      <c r="E34" s="3" t="s">
        <v>382</v>
      </c>
      <c r="F34" s="10" t="s">
        <v>97</v>
      </c>
      <c r="H34" s="3" t="s">
        <v>513</v>
      </c>
      <c r="I34" s="10" t="s">
        <v>190</v>
      </c>
      <c r="K34" s="3" t="s">
        <v>545</v>
      </c>
      <c r="L34" s="10" t="s">
        <v>216</v>
      </c>
      <c r="N34" s="3" t="s">
        <v>607</v>
      </c>
      <c r="O34" s="10" t="s">
        <v>267</v>
      </c>
    </row>
    <row r="35" spans="2:15" x14ac:dyDescent="0.25">
      <c r="B35" s="3" t="s">
        <v>307</v>
      </c>
      <c r="C35" s="9" t="s">
        <v>47</v>
      </c>
      <c r="E35" s="3" t="s">
        <v>383</v>
      </c>
      <c r="F35" s="9" t="s">
        <v>98</v>
      </c>
      <c r="H35" s="3" t="s">
        <v>514</v>
      </c>
      <c r="I35" s="9" t="s">
        <v>191</v>
      </c>
      <c r="K35" s="3" t="s">
        <v>546</v>
      </c>
      <c r="L35" s="10" t="s">
        <v>217</v>
      </c>
      <c r="N35" s="3" t="s">
        <v>608</v>
      </c>
      <c r="O35" s="10" t="s">
        <v>268</v>
      </c>
    </row>
    <row r="36" spans="2:15" x14ac:dyDescent="0.25">
      <c r="B36" s="3" t="s">
        <v>308</v>
      </c>
      <c r="C36" s="10" t="s">
        <v>24</v>
      </c>
      <c r="E36" s="3" t="s">
        <v>384</v>
      </c>
      <c r="F36" s="10" t="s">
        <v>99</v>
      </c>
      <c r="H36" s="3" t="s">
        <v>515</v>
      </c>
      <c r="I36" s="10" t="s">
        <v>190</v>
      </c>
      <c r="K36" s="3" t="s">
        <v>547</v>
      </c>
      <c r="L36" s="10" t="s">
        <v>218</v>
      </c>
      <c r="N36" s="3" t="s">
        <v>609</v>
      </c>
      <c r="O36" s="9" t="s">
        <v>269</v>
      </c>
    </row>
    <row r="37" spans="2:15" x14ac:dyDescent="0.25">
      <c r="B37" s="3" t="s">
        <v>309</v>
      </c>
      <c r="C37" s="11" t="s">
        <v>26</v>
      </c>
      <c r="E37" s="3" t="s">
        <v>385</v>
      </c>
      <c r="F37" s="11" t="s">
        <v>100</v>
      </c>
      <c r="I37" s="8"/>
      <c r="K37" s="3" t="s">
        <v>548</v>
      </c>
      <c r="L37" s="9" t="s">
        <v>44</v>
      </c>
      <c r="N37" s="3" t="s">
        <v>610</v>
      </c>
      <c r="O37" s="10" t="s">
        <v>270</v>
      </c>
    </row>
    <row r="38" spans="2:15" x14ac:dyDescent="0.25">
      <c r="B38" s="3" t="s">
        <v>310</v>
      </c>
      <c r="C38" s="10" t="s">
        <v>29</v>
      </c>
      <c r="E38" s="3" t="s">
        <v>386</v>
      </c>
      <c r="F38" s="11" t="s">
        <v>101</v>
      </c>
      <c r="I38" s="9"/>
      <c r="K38" s="3" t="s">
        <v>549</v>
      </c>
      <c r="L38" s="8" t="s">
        <v>219</v>
      </c>
      <c r="N38" s="3" t="s">
        <v>611</v>
      </c>
      <c r="O38" s="10" t="s">
        <v>271</v>
      </c>
    </row>
    <row r="39" spans="2:15" x14ac:dyDescent="0.25">
      <c r="B39" s="3" t="s">
        <v>311</v>
      </c>
      <c r="C39" s="10" t="s">
        <v>30</v>
      </c>
      <c r="E39" s="3" t="s">
        <v>387</v>
      </c>
      <c r="F39" s="11" t="s">
        <v>102</v>
      </c>
      <c r="I39" s="10"/>
      <c r="K39" s="3" t="s">
        <v>550</v>
      </c>
      <c r="L39" s="9" t="s">
        <v>220</v>
      </c>
      <c r="N39" s="3" t="s">
        <v>612</v>
      </c>
      <c r="O39" s="10" t="s">
        <v>255</v>
      </c>
    </row>
    <row r="40" spans="2:15" x14ac:dyDescent="0.25">
      <c r="B40" s="3" t="s">
        <v>312</v>
      </c>
      <c r="C40" s="11" t="s">
        <v>32</v>
      </c>
      <c r="E40" s="3" t="s">
        <v>388</v>
      </c>
      <c r="F40" s="10" t="s">
        <v>44</v>
      </c>
      <c r="I40" s="10"/>
      <c r="K40" s="3" t="s">
        <v>551</v>
      </c>
      <c r="L40" s="9" t="s">
        <v>221</v>
      </c>
      <c r="N40" s="3" t="s">
        <v>613</v>
      </c>
      <c r="O40" s="9" t="s">
        <v>272</v>
      </c>
    </row>
    <row r="41" spans="2:15" x14ac:dyDescent="0.25">
      <c r="B41" s="3" t="s">
        <v>313</v>
      </c>
      <c r="C41" s="11" t="s">
        <v>33</v>
      </c>
      <c r="E41" s="3" t="s">
        <v>389</v>
      </c>
      <c r="F41" s="11" t="s">
        <v>103</v>
      </c>
      <c r="I41" s="10"/>
      <c r="K41" s="3" t="s">
        <v>552</v>
      </c>
      <c r="L41" s="9" t="s">
        <v>222</v>
      </c>
      <c r="N41" s="3" t="s">
        <v>614</v>
      </c>
      <c r="O41" s="10" t="s">
        <v>273</v>
      </c>
    </row>
    <row r="42" spans="2:15" x14ac:dyDescent="0.25">
      <c r="B42" s="3" t="s">
        <v>314</v>
      </c>
      <c r="C42" s="10" t="s">
        <v>31</v>
      </c>
      <c r="E42" s="3" t="s">
        <v>390</v>
      </c>
      <c r="F42" s="11" t="s">
        <v>104</v>
      </c>
      <c r="I42" s="10"/>
      <c r="K42" s="3" t="s">
        <v>553</v>
      </c>
      <c r="L42" s="9" t="s">
        <v>223</v>
      </c>
      <c r="N42" s="3" t="s">
        <v>615</v>
      </c>
      <c r="O42" s="10" t="s">
        <v>235</v>
      </c>
    </row>
    <row r="43" spans="2:15" x14ac:dyDescent="0.25">
      <c r="B43" s="3" t="s">
        <v>315</v>
      </c>
      <c r="C43" s="11" t="s">
        <v>32</v>
      </c>
      <c r="E43" s="3" t="s">
        <v>391</v>
      </c>
      <c r="F43" s="11" t="s">
        <v>105</v>
      </c>
      <c r="I43" s="10"/>
      <c r="K43" s="3" t="s">
        <v>554</v>
      </c>
      <c r="L43" s="9" t="s">
        <v>224</v>
      </c>
      <c r="N43" s="3" t="s">
        <v>616</v>
      </c>
      <c r="O43" s="10" t="s">
        <v>274</v>
      </c>
    </row>
    <row r="44" spans="2:15" x14ac:dyDescent="0.25">
      <c r="B44" s="3" t="s">
        <v>316</v>
      </c>
      <c r="C44" s="11" t="s">
        <v>33</v>
      </c>
      <c r="E44" s="3" t="s">
        <v>392</v>
      </c>
      <c r="F44" s="11" t="s">
        <v>98</v>
      </c>
      <c r="I44" s="10"/>
      <c r="K44" s="3" t="s">
        <v>555</v>
      </c>
      <c r="L44" s="9" t="s">
        <v>225</v>
      </c>
      <c r="N44" s="3" t="s">
        <v>617</v>
      </c>
      <c r="O44" s="10" t="s">
        <v>275</v>
      </c>
    </row>
    <row r="45" spans="2:15" x14ac:dyDescent="0.25">
      <c r="B45" s="3" t="s">
        <v>317</v>
      </c>
      <c r="C45" s="10" t="s">
        <v>34</v>
      </c>
      <c r="E45" s="3" t="s">
        <v>393</v>
      </c>
      <c r="F45" s="11" t="s">
        <v>106</v>
      </c>
      <c r="I45" s="10"/>
      <c r="K45" s="3" t="s">
        <v>556</v>
      </c>
      <c r="L45" s="9" t="s">
        <v>222</v>
      </c>
      <c r="N45" s="3" t="s">
        <v>618</v>
      </c>
      <c r="O45" s="9" t="s">
        <v>44</v>
      </c>
    </row>
    <row r="46" spans="2:15" x14ac:dyDescent="0.25">
      <c r="B46" s="3" t="s">
        <v>318</v>
      </c>
      <c r="C46" s="11" t="s">
        <v>48</v>
      </c>
      <c r="E46" s="3" t="s">
        <v>394</v>
      </c>
      <c r="F46" s="11" t="s">
        <v>107</v>
      </c>
      <c r="I46" s="10"/>
      <c r="K46" s="3" t="s">
        <v>557</v>
      </c>
      <c r="L46" s="9" t="s">
        <v>226</v>
      </c>
      <c r="N46" s="3" t="s">
        <v>619</v>
      </c>
      <c r="O46" s="10" t="s">
        <v>276</v>
      </c>
    </row>
    <row r="47" spans="2:15" x14ac:dyDescent="0.25">
      <c r="B47" s="3" t="s">
        <v>319</v>
      </c>
      <c r="C47" s="11" t="s">
        <v>49</v>
      </c>
      <c r="E47" s="3" t="s">
        <v>395</v>
      </c>
      <c r="F47" s="11" t="s">
        <v>108</v>
      </c>
      <c r="I47" s="10"/>
      <c r="K47" s="3" t="s">
        <v>558</v>
      </c>
      <c r="L47" s="9" t="s">
        <v>227</v>
      </c>
    </row>
    <row r="48" spans="2:15" x14ac:dyDescent="0.25">
      <c r="B48" s="3" t="s">
        <v>320</v>
      </c>
      <c r="C48" s="11" t="s">
        <v>50</v>
      </c>
      <c r="E48" s="3" t="s">
        <v>396</v>
      </c>
      <c r="F48" s="11" t="s">
        <v>109</v>
      </c>
      <c r="I48" s="10"/>
      <c r="K48" s="3" t="s">
        <v>559</v>
      </c>
      <c r="L48" s="9" t="s">
        <v>228</v>
      </c>
    </row>
    <row r="49" spans="2:12" x14ac:dyDescent="0.25">
      <c r="B49" s="3" t="s">
        <v>321</v>
      </c>
      <c r="C49" s="10" t="s">
        <v>35</v>
      </c>
      <c r="E49" s="3" t="s">
        <v>397</v>
      </c>
      <c r="F49" s="11" t="s">
        <v>110</v>
      </c>
      <c r="I49" s="10"/>
      <c r="K49" s="3" t="s">
        <v>560</v>
      </c>
      <c r="L49" s="8" t="s">
        <v>229</v>
      </c>
    </row>
    <row r="50" spans="2:12" x14ac:dyDescent="0.25">
      <c r="B50" s="3" t="s">
        <v>322</v>
      </c>
      <c r="C50" s="10" t="s">
        <v>51</v>
      </c>
      <c r="E50" s="3" t="s">
        <v>398</v>
      </c>
      <c r="F50" s="9" t="s">
        <v>111</v>
      </c>
      <c r="I50" s="10"/>
      <c r="K50" s="3" t="s">
        <v>561</v>
      </c>
      <c r="L50" s="9" t="s">
        <v>230</v>
      </c>
    </row>
    <row r="51" spans="2:12" x14ac:dyDescent="0.25">
      <c r="B51" s="3" t="s">
        <v>323</v>
      </c>
      <c r="C51" s="11" t="s">
        <v>52</v>
      </c>
      <c r="E51" s="3" t="s">
        <v>399</v>
      </c>
      <c r="F51" s="10" t="s">
        <v>112</v>
      </c>
      <c r="I51" s="9"/>
      <c r="K51" s="3" t="s">
        <v>562</v>
      </c>
      <c r="L51" s="9" t="s">
        <v>231</v>
      </c>
    </row>
    <row r="52" spans="2:12" x14ac:dyDescent="0.25">
      <c r="B52" s="3" t="s">
        <v>324</v>
      </c>
      <c r="C52" s="10" t="s">
        <v>40</v>
      </c>
      <c r="E52" s="3" t="s">
        <v>400</v>
      </c>
      <c r="F52" s="11" t="s">
        <v>113</v>
      </c>
      <c r="I52" s="10"/>
      <c r="K52" s="3" t="s">
        <v>563</v>
      </c>
      <c r="L52" s="9" t="s">
        <v>110</v>
      </c>
    </row>
    <row r="53" spans="2:12" x14ac:dyDescent="0.25">
      <c r="B53" s="3" t="s">
        <v>325</v>
      </c>
      <c r="C53" s="10" t="s">
        <v>53</v>
      </c>
      <c r="E53" s="3" t="s">
        <v>401</v>
      </c>
      <c r="F53" s="11" t="s">
        <v>114</v>
      </c>
      <c r="I53" s="10"/>
      <c r="K53" s="3" t="s">
        <v>564</v>
      </c>
      <c r="L53" s="9" t="s">
        <v>232</v>
      </c>
    </row>
    <row r="54" spans="2:12" x14ac:dyDescent="0.25">
      <c r="B54" s="3" t="s">
        <v>326</v>
      </c>
      <c r="C54" s="11" t="s">
        <v>54</v>
      </c>
      <c r="E54" s="3" t="s">
        <v>402</v>
      </c>
      <c r="F54" s="11" t="s">
        <v>115</v>
      </c>
      <c r="I54" s="10"/>
      <c r="K54" s="3" t="s">
        <v>565</v>
      </c>
      <c r="L54" s="9" t="s">
        <v>233</v>
      </c>
    </row>
    <row r="55" spans="2:12" x14ac:dyDescent="0.25">
      <c r="B55" s="3" t="s">
        <v>327</v>
      </c>
      <c r="C55" s="11" t="s">
        <v>55</v>
      </c>
      <c r="E55" s="3" t="s">
        <v>403</v>
      </c>
      <c r="F55" s="11" t="s">
        <v>116</v>
      </c>
      <c r="I55" s="10"/>
      <c r="K55" s="3" t="s">
        <v>566</v>
      </c>
      <c r="L55" s="9" t="s">
        <v>234</v>
      </c>
    </row>
    <row r="56" spans="2:12" x14ac:dyDescent="0.25">
      <c r="B56" s="3" t="s">
        <v>328</v>
      </c>
      <c r="C56" s="11" t="s">
        <v>56</v>
      </c>
      <c r="E56" s="3" t="s">
        <v>404</v>
      </c>
      <c r="F56" s="11" t="s">
        <v>117</v>
      </c>
      <c r="I56" s="10"/>
      <c r="K56" s="3" t="s">
        <v>567</v>
      </c>
      <c r="L56" s="9" t="s">
        <v>235</v>
      </c>
    </row>
    <row r="57" spans="2:12" x14ac:dyDescent="0.25">
      <c r="B57" s="3" t="s">
        <v>329</v>
      </c>
      <c r="C57" s="11" t="s">
        <v>57</v>
      </c>
      <c r="E57" s="3" t="s">
        <v>405</v>
      </c>
      <c r="F57" s="10" t="s">
        <v>118</v>
      </c>
      <c r="I57" s="10"/>
      <c r="K57" s="3" t="s">
        <v>568</v>
      </c>
      <c r="L57" s="9" t="s">
        <v>232</v>
      </c>
    </row>
    <row r="58" spans="2:12" x14ac:dyDescent="0.25">
      <c r="B58" s="3" t="s">
        <v>330</v>
      </c>
      <c r="C58" s="10" t="s">
        <v>50</v>
      </c>
      <c r="E58" s="3" t="s">
        <v>406</v>
      </c>
      <c r="F58" s="11" t="s">
        <v>119</v>
      </c>
      <c r="I58" s="10"/>
      <c r="K58" s="3" t="s">
        <v>569</v>
      </c>
      <c r="L58" s="9" t="s">
        <v>236</v>
      </c>
    </row>
    <row r="59" spans="2:12" x14ac:dyDescent="0.25">
      <c r="B59" s="3" t="s">
        <v>331</v>
      </c>
      <c r="C59" s="11" t="s">
        <v>42</v>
      </c>
      <c r="E59" s="3" t="s">
        <v>407</v>
      </c>
      <c r="F59" s="11" t="s">
        <v>120</v>
      </c>
      <c r="I59" s="10"/>
      <c r="K59" s="3" t="s">
        <v>570</v>
      </c>
      <c r="L59" s="9" t="s">
        <v>237</v>
      </c>
    </row>
    <row r="60" spans="2:12" x14ac:dyDescent="0.25">
      <c r="B60" s="3" t="s">
        <v>332</v>
      </c>
      <c r="C60" s="11" t="s">
        <v>43</v>
      </c>
      <c r="E60" s="3" t="s">
        <v>408</v>
      </c>
      <c r="F60" s="11" t="s">
        <v>121</v>
      </c>
      <c r="I60" s="10"/>
      <c r="K60" s="3" t="s">
        <v>571</v>
      </c>
      <c r="L60" s="9" t="s">
        <v>238</v>
      </c>
    </row>
    <row r="61" spans="2:12" x14ac:dyDescent="0.25">
      <c r="B61" s="3" t="s">
        <v>333</v>
      </c>
      <c r="C61" s="11" t="s">
        <v>48</v>
      </c>
      <c r="E61" s="3" t="s">
        <v>409</v>
      </c>
      <c r="F61" s="9" t="s">
        <v>122</v>
      </c>
      <c r="I61" s="10"/>
      <c r="K61" s="3" t="s">
        <v>572</v>
      </c>
      <c r="L61" s="9" t="s">
        <v>110</v>
      </c>
    </row>
    <row r="62" spans="2:12" x14ac:dyDescent="0.25">
      <c r="B62" s="3" t="s">
        <v>334</v>
      </c>
      <c r="C62" s="11" t="s">
        <v>49</v>
      </c>
      <c r="E62" s="3" t="s">
        <v>410</v>
      </c>
      <c r="F62" s="10" t="s">
        <v>123</v>
      </c>
      <c r="I62" s="10"/>
      <c r="K62" s="3" t="s">
        <v>573</v>
      </c>
      <c r="L62" s="9" t="s">
        <v>228</v>
      </c>
    </row>
    <row r="63" spans="2:12" x14ac:dyDescent="0.25">
      <c r="B63" s="3" t="s">
        <v>335</v>
      </c>
      <c r="C63" s="11" t="s">
        <v>50</v>
      </c>
      <c r="E63" s="3" t="s">
        <v>411</v>
      </c>
      <c r="F63" s="10" t="s">
        <v>124</v>
      </c>
      <c r="I63" s="10"/>
      <c r="K63" s="3" t="s">
        <v>574</v>
      </c>
      <c r="L63" s="8" t="s">
        <v>239</v>
      </c>
    </row>
    <row r="64" spans="2:12" x14ac:dyDescent="0.25">
      <c r="B64" s="3" t="s">
        <v>336</v>
      </c>
      <c r="C64" s="11" t="s">
        <v>45</v>
      </c>
      <c r="E64" s="3" t="s">
        <v>412</v>
      </c>
      <c r="F64" s="8" t="s">
        <v>125</v>
      </c>
      <c r="I64" s="10"/>
      <c r="K64" s="3" t="s">
        <v>575</v>
      </c>
      <c r="L64" s="8" t="s">
        <v>240</v>
      </c>
    </row>
    <row r="65" spans="2:12" x14ac:dyDescent="0.25">
      <c r="B65" s="3" t="s">
        <v>337</v>
      </c>
      <c r="C65" s="11" t="s">
        <v>39</v>
      </c>
      <c r="E65" s="3" t="s">
        <v>413</v>
      </c>
      <c r="F65" s="9" t="s">
        <v>93</v>
      </c>
      <c r="I65" s="10"/>
      <c r="K65" s="3" t="s">
        <v>576</v>
      </c>
      <c r="L65" s="9" t="s">
        <v>241</v>
      </c>
    </row>
    <row r="66" spans="2:12" x14ac:dyDescent="0.25">
      <c r="B66" s="3" t="s">
        <v>338</v>
      </c>
      <c r="C66" s="9" t="s">
        <v>58</v>
      </c>
      <c r="E66" s="3" t="s">
        <v>414</v>
      </c>
      <c r="F66" s="10" t="s">
        <v>93</v>
      </c>
      <c r="I66" s="10"/>
      <c r="K66" s="3" t="s">
        <v>577</v>
      </c>
      <c r="L66" s="9" t="s">
        <v>242</v>
      </c>
    </row>
    <row r="67" spans="2:12" x14ac:dyDescent="0.25">
      <c r="B67" s="3" t="s">
        <v>339</v>
      </c>
      <c r="C67" s="10" t="s">
        <v>59</v>
      </c>
      <c r="E67" s="3" t="s">
        <v>415</v>
      </c>
      <c r="F67" s="11" t="s">
        <v>94</v>
      </c>
      <c r="I67" s="10"/>
      <c r="L67" s="8"/>
    </row>
    <row r="68" spans="2:12" x14ac:dyDescent="0.25">
      <c r="B68" s="3" t="s">
        <v>340</v>
      </c>
      <c r="C68" s="11" t="s">
        <v>60</v>
      </c>
      <c r="E68" s="3" t="s">
        <v>416</v>
      </c>
      <c r="F68" s="11" t="s">
        <v>95</v>
      </c>
      <c r="I68" s="10"/>
      <c r="L68" s="9"/>
    </row>
    <row r="69" spans="2:12" x14ac:dyDescent="0.25">
      <c r="B69" s="3" t="s">
        <v>341</v>
      </c>
      <c r="C69" s="11" t="s">
        <v>61</v>
      </c>
      <c r="E69" s="3" t="s">
        <v>417</v>
      </c>
      <c r="F69" s="10" t="s">
        <v>96</v>
      </c>
      <c r="I69" s="9"/>
      <c r="L69" s="9"/>
    </row>
    <row r="70" spans="2:12" x14ac:dyDescent="0.25">
      <c r="B70" s="3" t="s">
        <v>342</v>
      </c>
      <c r="C70" s="11" t="s">
        <v>62</v>
      </c>
      <c r="E70" s="3" t="s">
        <v>418</v>
      </c>
      <c r="F70" s="11" t="s">
        <v>96</v>
      </c>
      <c r="I70" s="8"/>
      <c r="L70" s="9"/>
    </row>
    <row r="71" spans="2:12" x14ac:dyDescent="0.25">
      <c r="B71" s="3" t="s">
        <v>343</v>
      </c>
      <c r="C71" s="10" t="s">
        <v>63</v>
      </c>
      <c r="E71" s="3" t="s">
        <v>419</v>
      </c>
      <c r="F71" s="10" t="s">
        <v>97</v>
      </c>
      <c r="I71" s="9"/>
      <c r="L71" s="9"/>
    </row>
    <row r="72" spans="2:12" x14ac:dyDescent="0.25">
      <c r="B72" s="3" t="s">
        <v>344</v>
      </c>
      <c r="C72" s="9" t="s">
        <v>64</v>
      </c>
      <c r="E72" s="3" t="s">
        <v>420</v>
      </c>
      <c r="F72" s="9" t="s">
        <v>98</v>
      </c>
      <c r="I72" s="9"/>
      <c r="L72" s="8"/>
    </row>
    <row r="73" spans="2:12" x14ac:dyDescent="0.25">
      <c r="B73" s="3" t="s">
        <v>345</v>
      </c>
      <c r="C73" s="10" t="s">
        <v>65</v>
      </c>
      <c r="E73" s="3" t="s">
        <v>421</v>
      </c>
      <c r="F73" s="10" t="s">
        <v>99</v>
      </c>
      <c r="I73" s="9"/>
      <c r="L73" s="9"/>
    </row>
    <row r="74" spans="2:12" x14ac:dyDescent="0.25">
      <c r="B74" s="3" t="s">
        <v>346</v>
      </c>
      <c r="C74" s="10" t="s">
        <v>66</v>
      </c>
      <c r="E74" s="3" t="s">
        <v>422</v>
      </c>
      <c r="F74" s="11" t="s">
        <v>100</v>
      </c>
      <c r="I74" s="9"/>
      <c r="L74" s="9"/>
    </row>
    <row r="75" spans="2:12" x14ac:dyDescent="0.25">
      <c r="B75" s="3" t="s">
        <v>347</v>
      </c>
      <c r="C75" s="11" t="s">
        <v>67</v>
      </c>
      <c r="E75" s="3" t="s">
        <v>423</v>
      </c>
      <c r="F75" s="11" t="s">
        <v>101</v>
      </c>
      <c r="I75" s="9"/>
      <c r="L75" s="9"/>
    </row>
    <row r="76" spans="2:12" x14ac:dyDescent="0.25">
      <c r="B76" s="3" t="s">
        <v>348</v>
      </c>
      <c r="C76" s="10" t="s">
        <v>68</v>
      </c>
      <c r="E76" s="3" t="s">
        <v>424</v>
      </c>
      <c r="F76" s="11" t="s">
        <v>102</v>
      </c>
      <c r="I76" s="9"/>
      <c r="L76" s="9"/>
    </row>
    <row r="77" spans="2:12" x14ac:dyDescent="0.25">
      <c r="B77" s="3" t="s">
        <v>349</v>
      </c>
      <c r="C77" s="9" t="s">
        <v>69</v>
      </c>
      <c r="E77" s="3" t="s">
        <v>425</v>
      </c>
      <c r="F77" s="10" t="s">
        <v>44</v>
      </c>
      <c r="I77" s="9"/>
      <c r="L77" s="8"/>
    </row>
    <row r="78" spans="2:12" x14ac:dyDescent="0.25">
      <c r="B78" s="3" t="s">
        <v>350</v>
      </c>
      <c r="C78" s="10" t="s">
        <v>70</v>
      </c>
      <c r="E78" s="3" t="s">
        <v>426</v>
      </c>
      <c r="F78" s="11" t="s">
        <v>105</v>
      </c>
      <c r="I78" s="9"/>
      <c r="L78" s="8"/>
    </row>
    <row r="79" spans="2:12" x14ac:dyDescent="0.25">
      <c r="B79" s="3" t="s">
        <v>351</v>
      </c>
      <c r="C79" s="11" t="s">
        <v>71</v>
      </c>
      <c r="E79" s="3" t="s">
        <v>427</v>
      </c>
      <c r="F79" s="11" t="s">
        <v>126</v>
      </c>
      <c r="I79" s="9"/>
      <c r="L79" s="9"/>
    </row>
    <row r="80" spans="2:12" x14ac:dyDescent="0.25">
      <c r="B80" s="3" t="s">
        <v>352</v>
      </c>
      <c r="C80" s="10" t="s">
        <v>72</v>
      </c>
      <c r="E80" s="3" t="s">
        <v>428</v>
      </c>
      <c r="F80" s="11" t="s">
        <v>98</v>
      </c>
      <c r="I80" s="9"/>
      <c r="L80" s="9"/>
    </row>
    <row r="81" spans="5:12" x14ac:dyDescent="0.25">
      <c r="E81" s="3" t="s">
        <v>429</v>
      </c>
      <c r="F81" s="11" t="s">
        <v>106</v>
      </c>
      <c r="I81" s="8"/>
      <c r="L81" s="10"/>
    </row>
    <row r="82" spans="5:12" x14ac:dyDescent="0.25">
      <c r="E82" s="3" t="s">
        <v>430</v>
      </c>
      <c r="F82" s="11" t="s">
        <v>108</v>
      </c>
      <c r="I82" s="9"/>
      <c r="L82" s="8"/>
    </row>
    <row r="83" spans="5:12" x14ac:dyDescent="0.25">
      <c r="E83" s="3" t="s">
        <v>431</v>
      </c>
      <c r="F83" s="11" t="s">
        <v>127</v>
      </c>
      <c r="I83" s="9"/>
      <c r="L83" s="8"/>
    </row>
    <row r="84" spans="5:12" x14ac:dyDescent="0.25">
      <c r="E84" s="3" t="s">
        <v>432</v>
      </c>
      <c r="F84" s="11" t="s">
        <v>128</v>
      </c>
      <c r="I84" s="9"/>
      <c r="L84" s="9"/>
    </row>
    <row r="85" spans="5:12" x14ac:dyDescent="0.25">
      <c r="E85" s="3" t="s">
        <v>433</v>
      </c>
      <c r="F85" s="11" t="s">
        <v>129</v>
      </c>
      <c r="I85" s="9"/>
      <c r="L85" s="9"/>
    </row>
    <row r="86" spans="5:12" x14ac:dyDescent="0.25">
      <c r="E86" s="3" t="s">
        <v>434</v>
      </c>
      <c r="F86" s="11" t="s">
        <v>78</v>
      </c>
      <c r="I86" s="9"/>
      <c r="L86" s="9"/>
    </row>
    <row r="87" spans="5:12" x14ac:dyDescent="0.25">
      <c r="E87" s="3" t="s">
        <v>435</v>
      </c>
      <c r="F87" s="9" t="s">
        <v>51</v>
      </c>
      <c r="I87" s="9"/>
      <c r="L87" s="8"/>
    </row>
    <row r="88" spans="5:12" x14ac:dyDescent="0.25">
      <c r="E88" s="3" t="s">
        <v>436</v>
      </c>
      <c r="F88" s="10" t="s">
        <v>52</v>
      </c>
      <c r="I88" s="9"/>
      <c r="L88" s="8"/>
    </row>
    <row r="89" spans="5:12" x14ac:dyDescent="0.25">
      <c r="E89" s="3" t="s">
        <v>437</v>
      </c>
      <c r="F89" s="9" t="s">
        <v>111</v>
      </c>
      <c r="I89" s="9"/>
      <c r="L89" s="9"/>
    </row>
    <row r="90" spans="5:12" x14ac:dyDescent="0.25">
      <c r="E90" s="3" t="s">
        <v>438</v>
      </c>
      <c r="F90" s="10" t="s">
        <v>112</v>
      </c>
      <c r="I90" s="9"/>
      <c r="L90" s="10"/>
    </row>
    <row r="91" spans="5:12" x14ac:dyDescent="0.25">
      <c r="E91" s="3" t="s">
        <v>439</v>
      </c>
      <c r="F91" s="11" t="s">
        <v>113</v>
      </c>
      <c r="I91" s="9"/>
      <c r="L91" s="10"/>
    </row>
    <row r="92" spans="5:12" x14ac:dyDescent="0.25">
      <c r="E92" s="3" t="s">
        <v>440</v>
      </c>
      <c r="F92" s="11" t="s">
        <v>114</v>
      </c>
      <c r="I92" s="9"/>
      <c r="L92" s="10"/>
    </row>
    <row r="93" spans="5:12" x14ac:dyDescent="0.25">
      <c r="E93" s="3" t="s">
        <v>441</v>
      </c>
      <c r="F93" s="11" t="s">
        <v>115</v>
      </c>
      <c r="I93" s="9"/>
      <c r="L93" s="10"/>
    </row>
    <row r="94" spans="5:12" x14ac:dyDescent="0.25">
      <c r="E94" s="3" t="s">
        <v>442</v>
      </c>
      <c r="F94" s="11" t="s">
        <v>116</v>
      </c>
      <c r="I94" s="9"/>
      <c r="L94" s="9"/>
    </row>
    <row r="95" spans="5:12" x14ac:dyDescent="0.25">
      <c r="E95" s="3" t="s">
        <v>443</v>
      </c>
      <c r="F95" s="11" t="s">
        <v>117</v>
      </c>
      <c r="I95" s="8"/>
      <c r="L95" s="10"/>
    </row>
    <row r="96" spans="5:12" x14ac:dyDescent="0.25">
      <c r="E96" s="3" t="s">
        <v>444</v>
      </c>
      <c r="F96" s="10" t="s">
        <v>118</v>
      </c>
      <c r="I96" s="8"/>
      <c r="L96" s="10"/>
    </row>
    <row r="97" spans="5:12" x14ac:dyDescent="0.25">
      <c r="E97" s="3" t="s">
        <v>445</v>
      </c>
      <c r="F97" s="11" t="s">
        <v>119</v>
      </c>
      <c r="I97" s="9"/>
      <c r="L97" s="10"/>
    </row>
    <row r="98" spans="5:12" x14ac:dyDescent="0.25">
      <c r="E98" s="3" t="s">
        <v>446</v>
      </c>
      <c r="F98" s="11" t="s">
        <v>120</v>
      </c>
      <c r="I98" s="9"/>
      <c r="L98" s="9"/>
    </row>
    <row r="99" spans="5:12" x14ac:dyDescent="0.25">
      <c r="E99" s="3" t="s">
        <v>447</v>
      </c>
      <c r="F99" s="11" t="s">
        <v>121</v>
      </c>
      <c r="I99" s="8"/>
      <c r="L99" s="10"/>
    </row>
    <row r="100" spans="5:12" x14ac:dyDescent="0.25">
      <c r="E100" s="3" t="s">
        <v>448</v>
      </c>
      <c r="F100" s="9" t="s">
        <v>122</v>
      </c>
      <c r="I100" s="9"/>
      <c r="L100" s="10"/>
    </row>
    <row r="101" spans="5:12" x14ac:dyDescent="0.25">
      <c r="E101" s="3" t="s">
        <v>449</v>
      </c>
      <c r="F101" s="10" t="s">
        <v>123</v>
      </c>
      <c r="I101" s="9"/>
      <c r="L101" s="10"/>
    </row>
    <row r="102" spans="5:12" x14ac:dyDescent="0.25">
      <c r="E102" s="3" t="s">
        <v>450</v>
      </c>
      <c r="F102" s="10" t="s">
        <v>124</v>
      </c>
      <c r="I102" s="9"/>
      <c r="L102" s="9"/>
    </row>
    <row r="103" spans="5:12" x14ac:dyDescent="0.25">
      <c r="E103" s="3" t="s">
        <v>451</v>
      </c>
      <c r="F103" s="9" t="s">
        <v>130</v>
      </c>
      <c r="I103" s="9"/>
      <c r="L103" s="10"/>
    </row>
    <row r="104" spans="5:12" x14ac:dyDescent="0.25">
      <c r="E104" s="3" t="s">
        <v>452</v>
      </c>
      <c r="F104" s="10" t="s">
        <v>131</v>
      </c>
      <c r="I104" s="8"/>
      <c r="L104" s="10"/>
    </row>
    <row r="105" spans="5:12" x14ac:dyDescent="0.25">
      <c r="E105" s="3" t="s">
        <v>453</v>
      </c>
      <c r="F105" s="10" t="s">
        <v>132</v>
      </c>
      <c r="I105" s="9"/>
      <c r="L105" s="10"/>
    </row>
    <row r="106" spans="5:12" x14ac:dyDescent="0.25">
      <c r="E106" s="3" t="s">
        <v>454</v>
      </c>
      <c r="F106" s="10" t="s">
        <v>133</v>
      </c>
      <c r="I106" s="9"/>
      <c r="L106" s="10"/>
    </row>
    <row r="107" spans="5:12" x14ac:dyDescent="0.25">
      <c r="E107" s="3" t="s">
        <v>455</v>
      </c>
      <c r="F107" s="8" t="s">
        <v>134</v>
      </c>
      <c r="I107" s="9"/>
      <c r="L107" s="9"/>
    </row>
    <row r="108" spans="5:12" x14ac:dyDescent="0.25">
      <c r="E108" s="3" t="s">
        <v>456</v>
      </c>
      <c r="F108" s="9" t="s">
        <v>135</v>
      </c>
      <c r="I108" s="9"/>
      <c r="L108" s="10"/>
    </row>
    <row r="109" spans="5:12" x14ac:dyDescent="0.25">
      <c r="E109" s="3" t="s">
        <v>457</v>
      </c>
      <c r="F109" s="9" t="s">
        <v>136</v>
      </c>
      <c r="I109" s="8"/>
    </row>
    <row r="110" spans="5:12" x14ac:dyDescent="0.25">
      <c r="E110" s="3" t="s">
        <v>458</v>
      </c>
      <c r="F110" s="10" t="s">
        <v>137</v>
      </c>
      <c r="I110" s="8"/>
    </row>
    <row r="111" spans="5:12" x14ac:dyDescent="0.25">
      <c r="E111" s="3" t="s">
        <v>459</v>
      </c>
      <c r="F111" s="10" t="s">
        <v>138</v>
      </c>
      <c r="I111" s="9"/>
    </row>
    <row r="112" spans="5:12" x14ac:dyDescent="0.25">
      <c r="E112" s="3" t="s">
        <v>460</v>
      </c>
      <c r="F112" s="10" t="s">
        <v>139</v>
      </c>
      <c r="I112" s="9"/>
    </row>
    <row r="113" spans="5:9" x14ac:dyDescent="0.25">
      <c r="E113" s="3" t="s">
        <v>461</v>
      </c>
      <c r="F113" s="10" t="s">
        <v>140</v>
      </c>
      <c r="I113" s="10"/>
    </row>
    <row r="114" spans="5:9" x14ac:dyDescent="0.25">
      <c r="E114" s="3" t="s">
        <v>462</v>
      </c>
      <c r="F114" s="10" t="s">
        <v>141</v>
      </c>
      <c r="I114" s="8"/>
    </row>
    <row r="115" spans="5:9" x14ac:dyDescent="0.25">
      <c r="E115" s="3" t="s">
        <v>463</v>
      </c>
      <c r="F115" s="10" t="s">
        <v>126</v>
      </c>
      <c r="I115" s="8"/>
    </row>
    <row r="116" spans="5:9" x14ac:dyDescent="0.25">
      <c r="E116" s="3" t="s">
        <v>464</v>
      </c>
      <c r="F116" s="10" t="s">
        <v>142</v>
      </c>
      <c r="I116" s="9"/>
    </row>
    <row r="117" spans="5:9" x14ac:dyDescent="0.25">
      <c r="E117" s="3" t="s">
        <v>465</v>
      </c>
      <c r="F117" s="10" t="s">
        <v>143</v>
      </c>
      <c r="I117" s="9"/>
    </row>
    <row r="118" spans="5:9" x14ac:dyDescent="0.25">
      <c r="E118" s="3" t="s">
        <v>466</v>
      </c>
      <c r="F118" s="9" t="s">
        <v>144</v>
      </c>
      <c r="I118" s="9"/>
    </row>
    <row r="119" spans="5:9" x14ac:dyDescent="0.25">
      <c r="E119" s="3" t="s">
        <v>467</v>
      </c>
      <c r="F119" s="9" t="s">
        <v>145</v>
      </c>
      <c r="I119" s="8"/>
    </row>
    <row r="120" spans="5:9" x14ac:dyDescent="0.25">
      <c r="E120" s="3" t="s">
        <v>468</v>
      </c>
      <c r="F120" s="10" t="s">
        <v>146</v>
      </c>
      <c r="I120" s="8"/>
    </row>
    <row r="121" spans="5:9" x14ac:dyDescent="0.25">
      <c r="E121" s="3" t="s">
        <v>469</v>
      </c>
      <c r="F121" s="10" t="s">
        <v>147</v>
      </c>
      <c r="I121" s="9"/>
    </row>
    <row r="122" spans="5:9" x14ac:dyDescent="0.25">
      <c r="E122" s="3" t="s">
        <v>470</v>
      </c>
      <c r="F122" s="10" t="s">
        <v>148</v>
      </c>
      <c r="I122" s="10"/>
    </row>
    <row r="123" spans="5:9" x14ac:dyDescent="0.25">
      <c r="E123" s="3" t="s">
        <v>471</v>
      </c>
      <c r="F123" s="10" t="s">
        <v>149</v>
      </c>
      <c r="I123" s="10"/>
    </row>
    <row r="124" spans="5:9" x14ac:dyDescent="0.25">
      <c r="E124" s="3" t="s">
        <v>472</v>
      </c>
      <c r="F124" s="10" t="s">
        <v>150</v>
      </c>
      <c r="I124" s="10"/>
    </row>
    <row r="125" spans="5:9" x14ac:dyDescent="0.25">
      <c r="E125" s="3" t="s">
        <v>473</v>
      </c>
      <c r="F125" s="10" t="s">
        <v>151</v>
      </c>
      <c r="I125" s="10"/>
    </row>
    <row r="126" spans="5:9" x14ac:dyDescent="0.25">
      <c r="E126" s="3" t="s">
        <v>474</v>
      </c>
      <c r="F126" s="10" t="s">
        <v>152</v>
      </c>
      <c r="I126" s="9"/>
    </row>
    <row r="127" spans="5:9" x14ac:dyDescent="0.25">
      <c r="E127" s="3" t="s">
        <v>475</v>
      </c>
      <c r="F127" s="10" t="s">
        <v>153</v>
      </c>
      <c r="I127" s="10"/>
    </row>
    <row r="128" spans="5:9" x14ac:dyDescent="0.25">
      <c r="E128" s="3" t="s">
        <v>476</v>
      </c>
      <c r="F128" s="10" t="s">
        <v>141</v>
      </c>
      <c r="I128" s="10"/>
    </row>
    <row r="129" spans="5:9" x14ac:dyDescent="0.25">
      <c r="E129" s="3" t="s">
        <v>477</v>
      </c>
      <c r="F129" s="10" t="s">
        <v>154</v>
      </c>
      <c r="I129" s="10"/>
    </row>
    <row r="130" spans="5:9" x14ac:dyDescent="0.25">
      <c r="E130" s="3" t="s">
        <v>478</v>
      </c>
      <c r="F130" s="10" t="s">
        <v>155</v>
      </c>
      <c r="I130" s="9"/>
    </row>
    <row r="131" spans="5:9" x14ac:dyDescent="0.25">
      <c r="E131" s="3" t="s">
        <v>479</v>
      </c>
      <c r="F131" s="9" t="s">
        <v>156</v>
      </c>
      <c r="I131" s="10"/>
    </row>
    <row r="132" spans="5:9" x14ac:dyDescent="0.25">
      <c r="E132" s="3" t="s">
        <v>480</v>
      </c>
      <c r="F132" s="9" t="s">
        <v>157</v>
      </c>
      <c r="I132" s="10"/>
    </row>
    <row r="133" spans="5:9" x14ac:dyDescent="0.25">
      <c r="E133" s="3" t="s">
        <v>481</v>
      </c>
      <c r="F133" s="9" t="s">
        <v>158</v>
      </c>
      <c r="I133" s="10"/>
    </row>
    <row r="134" spans="5:9" x14ac:dyDescent="0.25">
      <c r="E134" s="3" t="s">
        <v>482</v>
      </c>
      <c r="F134" s="9" t="s">
        <v>159</v>
      </c>
      <c r="I134" s="9"/>
    </row>
    <row r="135" spans="5:9" x14ac:dyDescent="0.25">
      <c r="E135" s="3" t="s">
        <v>483</v>
      </c>
      <c r="F135" s="9" t="s">
        <v>160</v>
      </c>
      <c r="I135" s="10"/>
    </row>
    <row r="136" spans="5:9" x14ac:dyDescent="0.25">
      <c r="I136" s="10"/>
    </row>
    <row r="137" spans="5:9" x14ac:dyDescent="0.25">
      <c r="I137" s="10"/>
    </row>
    <row r="138" spans="5:9" x14ac:dyDescent="0.25">
      <c r="I138" s="10"/>
    </row>
    <row r="139" spans="5:9" x14ac:dyDescent="0.25">
      <c r="I139" s="9"/>
    </row>
    <row r="140" spans="5:9" x14ac:dyDescent="0.25">
      <c r="I140" s="10"/>
    </row>
    <row r="146" spans="6:6" x14ac:dyDescent="0.25">
      <c r="F146"/>
    </row>
  </sheetData>
  <mergeCells count="5">
    <mergeCell ref="B3:C3"/>
    <mergeCell ref="E3:F3"/>
    <mergeCell ref="H3:I3"/>
    <mergeCell ref="K3:L3"/>
    <mergeCell ref="N3:O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4160-B164-475E-9F7E-75CE7310066D}">
  <sheetPr>
    <tabColor rgb="FF411214"/>
  </sheetPr>
  <dimension ref="A1:I343"/>
  <sheetViews>
    <sheetView topLeftCell="B198" workbookViewId="0">
      <selection activeCell="H206" sqref="H206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9.42578125" bestFit="1" customWidth="1"/>
    <col min="4" max="4" width="10.42578125" bestFit="1" customWidth="1"/>
    <col min="5" max="5" width="11" bestFit="1" customWidth="1"/>
    <col min="6" max="6" width="10" bestFit="1" customWidth="1"/>
    <col min="7" max="7" width="76.5703125" bestFit="1" customWidth="1"/>
    <col min="8" max="8" width="9.7109375" bestFit="1" customWidth="1"/>
    <col min="9" max="9" width="17.28515625" bestFit="1" customWidth="1"/>
  </cols>
  <sheetData>
    <row r="1" spans="1:9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ht="15.75" x14ac:dyDescent="0.25">
      <c r="A2">
        <v>5996616</v>
      </c>
      <c r="B2" t="s">
        <v>18</v>
      </c>
      <c r="C2" t="s">
        <v>692</v>
      </c>
      <c r="D2" s="1">
        <v>45291</v>
      </c>
      <c r="E2" s="1">
        <v>45291</v>
      </c>
      <c r="F2">
        <v>1</v>
      </c>
      <c r="G2" s="12" t="s">
        <v>20</v>
      </c>
      <c r="H2">
        <v>27115000</v>
      </c>
      <c r="I2" t="s">
        <v>21</v>
      </c>
    </row>
    <row r="3" spans="1:9" x14ac:dyDescent="0.25">
      <c r="A3">
        <v>5996617</v>
      </c>
      <c r="B3" t="s">
        <v>18</v>
      </c>
      <c r="C3" t="s">
        <v>692</v>
      </c>
      <c r="D3" s="1">
        <v>45291</v>
      </c>
      <c r="E3" s="1">
        <v>45291</v>
      </c>
      <c r="F3">
        <v>101</v>
      </c>
      <c r="G3" s="13" t="s">
        <v>2</v>
      </c>
      <c r="H3">
        <v>10727000</v>
      </c>
      <c r="I3" t="s">
        <v>21</v>
      </c>
    </row>
    <row r="4" spans="1:9" x14ac:dyDescent="0.25">
      <c r="A4">
        <v>5996618</v>
      </c>
      <c r="B4" t="s">
        <v>18</v>
      </c>
      <c r="C4" t="s">
        <v>692</v>
      </c>
      <c r="D4" s="1">
        <v>45291</v>
      </c>
      <c r="E4" s="1">
        <v>45291</v>
      </c>
      <c r="F4">
        <v>10101</v>
      </c>
      <c r="G4" s="2" t="s">
        <v>22</v>
      </c>
      <c r="H4">
        <v>1758000</v>
      </c>
      <c r="I4" t="s">
        <v>21</v>
      </c>
    </row>
    <row r="5" spans="1:9" x14ac:dyDescent="0.25">
      <c r="A5">
        <v>5996619</v>
      </c>
      <c r="B5" t="s">
        <v>18</v>
      </c>
      <c r="C5" t="s">
        <v>692</v>
      </c>
      <c r="D5" s="1">
        <v>45291</v>
      </c>
      <c r="E5" s="1">
        <v>45291</v>
      </c>
      <c r="F5">
        <v>10102</v>
      </c>
      <c r="G5" s="2" t="s">
        <v>23</v>
      </c>
      <c r="H5">
        <v>2245000</v>
      </c>
      <c r="I5" t="s">
        <v>21</v>
      </c>
    </row>
    <row r="6" spans="1:9" x14ac:dyDescent="0.25">
      <c r="A6">
        <v>5996620</v>
      </c>
      <c r="B6" t="s">
        <v>18</v>
      </c>
      <c r="C6" t="s">
        <v>692</v>
      </c>
      <c r="D6" s="1">
        <v>45291</v>
      </c>
      <c r="E6" s="1">
        <v>45291</v>
      </c>
      <c r="F6">
        <v>1010201</v>
      </c>
      <c r="G6" s="14" t="s">
        <v>24</v>
      </c>
      <c r="H6">
        <v>2245000</v>
      </c>
      <c r="I6" t="s">
        <v>21</v>
      </c>
    </row>
    <row r="7" spans="1:9" x14ac:dyDescent="0.25">
      <c r="A7">
        <v>5996621</v>
      </c>
      <c r="B7" t="s">
        <v>18</v>
      </c>
      <c r="C7" t="s">
        <v>692</v>
      </c>
      <c r="D7" s="1">
        <v>45291</v>
      </c>
      <c r="E7" s="1">
        <v>45291</v>
      </c>
      <c r="F7">
        <v>101020101</v>
      </c>
      <c r="G7" s="15" t="s">
        <v>25</v>
      </c>
      <c r="H7">
        <v>0</v>
      </c>
      <c r="I7" t="s">
        <v>21</v>
      </c>
    </row>
    <row r="8" spans="1:9" x14ac:dyDescent="0.25">
      <c r="A8">
        <v>5996622</v>
      </c>
      <c r="B8" t="s">
        <v>18</v>
      </c>
      <c r="C8" t="s">
        <v>692</v>
      </c>
      <c r="D8" s="1">
        <v>45291</v>
      </c>
      <c r="E8" s="1">
        <v>45291</v>
      </c>
      <c r="F8">
        <v>101020102</v>
      </c>
      <c r="G8" s="15" t="s">
        <v>26</v>
      </c>
      <c r="H8">
        <v>0</v>
      </c>
      <c r="I8" t="s">
        <v>21</v>
      </c>
    </row>
    <row r="9" spans="1:9" x14ac:dyDescent="0.25">
      <c r="A9">
        <v>5996623</v>
      </c>
      <c r="B9" t="s">
        <v>18</v>
      </c>
      <c r="C9" t="s">
        <v>692</v>
      </c>
      <c r="D9" s="1">
        <v>45291</v>
      </c>
      <c r="E9" s="1">
        <v>45291</v>
      </c>
      <c r="F9">
        <v>101020103</v>
      </c>
      <c r="G9" s="15" t="s">
        <v>27</v>
      </c>
      <c r="H9">
        <v>2245000</v>
      </c>
      <c r="I9" t="s">
        <v>21</v>
      </c>
    </row>
    <row r="10" spans="1:9" x14ac:dyDescent="0.25">
      <c r="A10">
        <v>5996624</v>
      </c>
      <c r="B10" t="s">
        <v>18</v>
      </c>
      <c r="C10" t="s">
        <v>692</v>
      </c>
      <c r="D10" s="1">
        <v>45291</v>
      </c>
      <c r="E10" s="1">
        <v>45291</v>
      </c>
      <c r="F10">
        <v>101020104</v>
      </c>
      <c r="G10" s="15" t="s">
        <v>28</v>
      </c>
      <c r="H10">
        <v>0</v>
      </c>
      <c r="I10" t="s">
        <v>21</v>
      </c>
    </row>
    <row r="11" spans="1:9" x14ac:dyDescent="0.25">
      <c r="A11">
        <v>5996625</v>
      </c>
      <c r="B11" t="s">
        <v>18</v>
      </c>
      <c r="C11" t="s">
        <v>692</v>
      </c>
      <c r="D11" s="1">
        <v>45291</v>
      </c>
      <c r="E11" s="1">
        <v>45291</v>
      </c>
      <c r="F11">
        <v>1010202</v>
      </c>
      <c r="G11" s="14" t="s">
        <v>29</v>
      </c>
      <c r="H11">
        <v>0</v>
      </c>
      <c r="I11" t="s">
        <v>21</v>
      </c>
    </row>
    <row r="12" spans="1:9" x14ac:dyDescent="0.25">
      <c r="A12">
        <v>5996626</v>
      </c>
      <c r="B12" t="s">
        <v>18</v>
      </c>
      <c r="C12" t="s">
        <v>692</v>
      </c>
      <c r="D12" s="1">
        <v>45291</v>
      </c>
      <c r="E12" s="1">
        <v>45291</v>
      </c>
      <c r="F12">
        <v>1010203</v>
      </c>
      <c r="G12" s="14" t="s">
        <v>30</v>
      </c>
      <c r="H12">
        <v>0</v>
      </c>
      <c r="I12" t="s">
        <v>21</v>
      </c>
    </row>
    <row r="13" spans="1:9" x14ac:dyDescent="0.25">
      <c r="A13">
        <v>5996627</v>
      </c>
      <c r="B13" t="s">
        <v>18</v>
      </c>
      <c r="C13" t="s">
        <v>692</v>
      </c>
      <c r="D13" s="1">
        <v>45291</v>
      </c>
      <c r="E13" s="1">
        <v>45291</v>
      </c>
      <c r="F13">
        <v>10103</v>
      </c>
      <c r="G13" s="2" t="s">
        <v>31</v>
      </c>
      <c r="H13">
        <v>2380000</v>
      </c>
      <c r="I13" t="s">
        <v>21</v>
      </c>
    </row>
    <row r="14" spans="1:9" x14ac:dyDescent="0.25">
      <c r="A14">
        <v>5996628</v>
      </c>
      <c r="B14" t="s">
        <v>18</v>
      </c>
      <c r="C14" t="s">
        <v>692</v>
      </c>
      <c r="D14" s="1">
        <v>45291</v>
      </c>
      <c r="E14" s="1">
        <v>45291</v>
      </c>
      <c r="F14">
        <v>1010301</v>
      </c>
      <c r="G14" s="14" t="s">
        <v>32</v>
      </c>
      <c r="H14">
        <v>2380000</v>
      </c>
      <c r="I14" t="s">
        <v>21</v>
      </c>
    </row>
    <row r="15" spans="1:9" x14ac:dyDescent="0.25">
      <c r="A15">
        <v>5996629</v>
      </c>
      <c r="B15" t="s">
        <v>18</v>
      </c>
      <c r="C15" t="s">
        <v>692</v>
      </c>
      <c r="D15" s="1">
        <v>45291</v>
      </c>
      <c r="E15" s="1">
        <v>45291</v>
      </c>
      <c r="F15">
        <v>1010302</v>
      </c>
      <c r="G15" s="14" t="s">
        <v>33</v>
      </c>
      <c r="H15">
        <v>0</v>
      </c>
      <c r="I15" t="s">
        <v>21</v>
      </c>
    </row>
    <row r="16" spans="1:9" x14ac:dyDescent="0.25">
      <c r="A16">
        <v>5996630</v>
      </c>
      <c r="B16" t="s">
        <v>18</v>
      </c>
      <c r="C16" t="s">
        <v>692</v>
      </c>
      <c r="D16" s="1">
        <v>45291</v>
      </c>
      <c r="E16" s="1">
        <v>45291</v>
      </c>
      <c r="F16">
        <v>10104</v>
      </c>
      <c r="G16" s="2" t="s">
        <v>34</v>
      </c>
      <c r="H16">
        <v>2028000</v>
      </c>
      <c r="I16" t="s">
        <v>21</v>
      </c>
    </row>
    <row r="17" spans="1:9" x14ac:dyDescent="0.25">
      <c r="A17">
        <v>5996631</v>
      </c>
      <c r="B17" t="s">
        <v>18</v>
      </c>
      <c r="C17" t="s">
        <v>692</v>
      </c>
      <c r="D17" s="1">
        <v>45291</v>
      </c>
      <c r="E17" s="1">
        <v>45291</v>
      </c>
      <c r="F17">
        <v>1010401</v>
      </c>
      <c r="G17" s="14" t="s">
        <v>34</v>
      </c>
      <c r="H17">
        <v>2028000</v>
      </c>
      <c r="I17" t="s">
        <v>21</v>
      </c>
    </row>
    <row r="18" spans="1:9" x14ac:dyDescent="0.25">
      <c r="A18">
        <v>5996632</v>
      </c>
      <c r="B18" t="s">
        <v>18</v>
      </c>
      <c r="C18" t="s">
        <v>692</v>
      </c>
      <c r="D18" s="1">
        <v>45291</v>
      </c>
      <c r="E18" s="1">
        <v>45291</v>
      </c>
      <c r="F18">
        <v>10105</v>
      </c>
      <c r="G18" s="2" t="s">
        <v>35</v>
      </c>
      <c r="H18">
        <v>0</v>
      </c>
      <c r="I18" t="s">
        <v>21</v>
      </c>
    </row>
    <row r="19" spans="1:9" x14ac:dyDescent="0.25">
      <c r="A19">
        <v>5996633</v>
      </c>
      <c r="B19" t="s">
        <v>18</v>
      </c>
      <c r="C19" t="s">
        <v>692</v>
      </c>
      <c r="D19" s="1">
        <v>45291</v>
      </c>
      <c r="E19" s="1">
        <v>45291</v>
      </c>
      <c r="F19">
        <v>10106</v>
      </c>
      <c r="G19" s="2" t="s">
        <v>36</v>
      </c>
      <c r="H19">
        <v>1616000</v>
      </c>
      <c r="I19" t="s">
        <v>21</v>
      </c>
    </row>
    <row r="20" spans="1:9" x14ac:dyDescent="0.25">
      <c r="A20">
        <v>5996634</v>
      </c>
      <c r="B20" t="s">
        <v>18</v>
      </c>
      <c r="C20" t="s">
        <v>692</v>
      </c>
      <c r="D20" s="1">
        <v>45291</v>
      </c>
      <c r="E20" s="1">
        <v>45291</v>
      </c>
      <c r="F20">
        <v>1010601</v>
      </c>
      <c r="G20" s="14" t="s">
        <v>37</v>
      </c>
      <c r="H20">
        <v>1616000</v>
      </c>
      <c r="I20" t="s">
        <v>21</v>
      </c>
    </row>
    <row r="21" spans="1:9" x14ac:dyDescent="0.25">
      <c r="A21">
        <v>5996635</v>
      </c>
      <c r="B21" t="s">
        <v>18</v>
      </c>
      <c r="C21" t="s">
        <v>692</v>
      </c>
      <c r="D21" s="1">
        <v>45291</v>
      </c>
      <c r="E21" s="1">
        <v>45291</v>
      </c>
      <c r="F21">
        <v>101060101</v>
      </c>
      <c r="G21" s="15" t="s">
        <v>38</v>
      </c>
      <c r="H21">
        <v>1149000</v>
      </c>
      <c r="I21" t="s">
        <v>21</v>
      </c>
    </row>
    <row r="22" spans="1:9" x14ac:dyDescent="0.25">
      <c r="A22">
        <v>5996636</v>
      </c>
      <c r="B22" t="s">
        <v>18</v>
      </c>
      <c r="C22" t="s">
        <v>692</v>
      </c>
      <c r="D22" s="1">
        <v>45291</v>
      </c>
      <c r="E22" s="1">
        <v>45291</v>
      </c>
      <c r="F22">
        <v>101060102</v>
      </c>
      <c r="G22" s="15" t="s">
        <v>39</v>
      </c>
      <c r="H22">
        <v>467000</v>
      </c>
      <c r="I22" t="s">
        <v>21</v>
      </c>
    </row>
    <row r="23" spans="1:9" x14ac:dyDescent="0.25">
      <c r="A23">
        <v>5996637</v>
      </c>
      <c r="B23" t="s">
        <v>18</v>
      </c>
      <c r="C23" t="s">
        <v>692</v>
      </c>
      <c r="D23" s="1">
        <v>45291</v>
      </c>
      <c r="E23" s="1">
        <v>45291</v>
      </c>
      <c r="F23">
        <v>10107</v>
      </c>
      <c r="G23" s="2" t="s">
        <v>40</v>
      </c>
      <c r="H23">
        <v>78000</v>
      </c>
      <c r="I23" t="s">
        <v>21</v>
      </c>
    </row>
    <row r="24" spans="1:9" x14ac:dyDescent="0.25">
      <c r="A24">
        <v>5996638</v>
      </c>
      <c r="B24" t="s">
        <v>18</v>
      </c>
      <c r="C24" t="s">
        <v>692</v>
      </c>
      <c r="D24" s="1">
        <v>45291</v>
      </c>
      <c r="E24" s="1">
        <v>45291</v>
      </c>
      <c r="F24">
        <v>1010701</v>
      </c>
      <c r="G24" s="14" t="s">
        <v>40</v>
      </c>
      <c r="H24">
        <v>78000</v>
      </c>
      <c r="I24" t="s">
        <v>21</v>
      </c>
    </row>
    <row r="25" spans="1:9" x14ac:dyDescent="0.25">
      <c r="A25">
        <v>5996639</v>
      </c>
      <c r="B25" t="s">
        <v>18</v>
      </c>
      <c r="C25" t="s">
        <v>692</v>
      </c>
      <c r="D25" s="1">
        <v>45291</v>
      </c>
      <c r="E25" s="1">
        <v>45291</v>
      </c>
      <c r="F25">
        <v>10108</v>
      </c>
      <c r="G25" s="2" t="s">
        <v>41</v>
      </c>
      <c r="H25">
        <v>622000</v>
      </c>
      <c r="I25" t="s">
        <v>21</v>
      </c>
    </row>
    <row r="26" spans="1:9" x14ac:dyDescent="0.25">
      <c r="A26">
        <v>5996640</v>
      </c>
      <c r="B26" t="s">
        <v>18</v>
      </c>
      <c r="C26" t="s">
        <v>692</v>
      </c>
      <c r="D26" s="1">
        <v>45291</v>
      </c>
      <c r="E26" s="1">
        <v>45291</v>
      </c>
      <c r="F26">
        <v>1010801</v>
      </c>
      <c r="G26" s="14" t="s">
        <v>42</v>
      </c>
      <c r="H26">
        <v>0</v>
      </c>
      <c r="I26" t="s">
        <v>21</v>
      </c>
    </row>
    <row r="27" spans="1:9" x14ac:dyDescent="0.25">
      <c r="A27">
        <v>5996641</v>
      </c>
      <c r="B27" t="s">
        <v>18</v>
      </c>
      <c r="C27" t="s">
        <v>692</v>
      </c>
      <c r="D27" s="1">
        <v>45291</v>
      </c>
      <c r="E27" s="1">
        <v>45291</v>
      </c>
      <c r="F27">
        <v>1010802</v>
      </c>
      <c r="G27" s="14" t="s">
        <v>43</v>
      </c>
      <c r="H27">
        <v>0</v>
      </c>
      <c r="I27" t="s">
        <v>21</v>
      </c>
    </row>
    <row r="28" spans="1:9" x14ac:dyDescent="0.25">
      <c r="A28">
        <v>5996642</v>
      </c>
      <c r="B28" t="s">
        <v>18</v>
      </c>
      <c r="C28" t="s">
        <v>692</v>
      </c>
      <c r="D28" s="1">
        <v>45291</v>
      </c>
      <c r="E28" s="1">
        <v>45291</v>
      </c>
      <c r="F28">
        <v>1010803</v>
      </c>
      <c r="G28" s="14" t="s">
        <v>44</v>
      </c>
      <c r="H28">
        <v>622000</v>
      </c>
      <c r="I28" t="s">
        <v>21</v>
      </c>
    </row>
    <row r="29" spans="1:9" x14ac:dyDescent="0.25">
      <c r="A29">
        <v>5996643</v>
      </c>
      <c r="B29" t="s">
        <v>18</v>
      </c>
      <c r="C29" t="s">
        <v>692</v>
      </c>
      <c r="D29" s="1">
        <v>45291</v>
      </c>
      <c r="E29" s="1">
        <v>45291</v>
      </c>
      <c r="F29">
        <v>101080301</v>
      </c>
      <c r="G29" s="15" t="s">
        <v>44</v>
      </c>
      <c r="H29">
        <v>622000</v>
      </c>
      <c r="I29" t="s">
        <v>21</v>
      </c>
    </row>
    <row r="30" spans="1:9" x14ac:dyDescent="0.25">
      <c r="A30">
        <v>5996644</v>
      </c>
      <c r="B30" t="s">
        <v>18</v>
      </c>
      <c r="C30" t="s">
        <v>692</v>
      </c>
      <c r="D30" s="1">
        <v>45291</v>
      </c>
      <c r="E30" s="1">
        <v>45291</v>
      </c>
      <c r="F30">
        <v>102</v>
      </c>
      <c r="G30" s="15" t="s">
        <v>46</v>
      </c>
      <c r="H30">
        <v>16388000</v>
      </c>
      <c r="I30" t="s">
        <v>21</v>
      </c>
    </row>
    <row r="31" spans="1:9" x14ac:dyDescent="0.25">
      <c r="A31">
        <v>5996645</v>
      </c>
      <c r="B31" t="s">
        <v>18</v>
      </c>
      <c r="C31" t="s">
        <v>692</v>
      </c>
      <c r="D31" s="1">
        <v>45291</v>
      </c>
      <c r="E31" s="1">
        <v>45291</v>
      </c>
      <c r="F31">
        <v>10201</v>
      </c>
      <c r="G31" s="13" t="s">
        <v>47</v>
      </c>
      <c r="H31">
        <v>8714000</v>
      </c>
      <c r="I31" t="s">
        <v>21</v>
      </c>
    </row>
    <row r="32" spans="1:9" x14ac:dyDescent="0.25">
      <c r="A32">
        <v>5996646</v>
      </c>
      <c r="B32" t="s">
        <v>18</v>
      </c>
      <c r="C32" t="s">
        <v>692</v>
      </c>
      <c r="D32" s="1">
        <v>45291</v>
      </c>
      <c r="E32" s="1">
        <v>45291</v>
      </c>
      <c r="F32">
        <v>1020101</v>
      </c>
      <c r="G32" s="2" t="s">
        <v>24</v>
      </c>
      <c r="H32">
        <v>0</v>
      </c>
      <c r="I32" t="s">
        <v>21</v>
      </c>
    </row>
    <row r="33" spans="1:9" x14ac:dyDescent="0.25">
      <c r="A33">
        <v>5996647</v>
      </c>
      <c r="B33" t="s">
        <v>18</v>
      </c>
      <c r="C33" t="s">
        <v>692</v>
      </c>
      <c r="D33" s="1">
        <v>45291</v>
      </c>
      <c r="E33" s="1">
        <v>45291</v>
      </c>
      <c r="F33">
        <v>102010101</v>
      </c>
      <c r="G33" s="14" t="s">
        <v>26</v>
      </c>
      <c r="H33">
        <v>0</v>
      </c>
      <c r="I33" t="s">
        <v>21</v>
      </c>
    </row>
    <row r="34" spans="1:9" x14ac:dyDescent="0.25">
      <c r="A34">
        <v>5996648</v>
      </c>
      <c r="B34" t="s">
        <v>18</v>
      </c>
      <c r="C34" t="s">
        <v>692</v>
      </c>
      <c r="D34" s="1">
        <v>45291</v>
      </c>
      <c r="E34" s="1">
        <v>45291</v>
      </c>
      <c r="F34">
        <v>1020102</v>
      </c>
      <c r="G34" s="15" t="s">
        <v>29</v>
      </c>
      <c r="H34">
        <v>0</v>
      </c>
      <c r="I34" t="s">
        <v>21</v>
      </c>
    </row>
    <row r="35" spans="1:9" x14ac:dyDescent="0.25">
      <c r="A35">
        <v>5996649</v>
      </c>
      <c r="B35" t="s">
        <v>18</v>
      </c>
      <c r="C35" t="s">
        <v>692</v>
      </c>
      <c r="D35" s="1">
        <v>45291</v>
      </c>
      <c r="E35" s="1">
        <v>45291</v>
      </c>
      <c r="F35">
        <v>1020103</v>
      </c>
      <c r="G35" s="14" t="s">
        <v>30</v>
      </c>
      <c r="H35">
        <v>0</v>
      </c>
      <c r="I35" t="s">
        <v>21</v>
      </c>
    </row>
    <row r="36" spans="1:9" x14ac:dyDescent="0.25">
      <c r="A36">
        <v>5996650</v>
      </c>
      <c r="B36" t="s">
        <v>18</v>
      </c>
      <c r="C36" t="s">
        <v>692</v>
      </c>
      <c r="D36" s="1">
        <v>45291</v>
      </c>
      <c r="E36" s="1">
        <v>45291</v>
      </c>
      <c r="F36">
        <v>102010301</v>
      </c>
      <c r="G36" s="14" t="s">
        <v>32</v>
      </c>
      <c r="H36">
        <v>0</v>
      </c>
      <c r="I36" t="s">
        <v>21</v>
      </c>
    </row>
    <row r="37" spans="1:9" x14ac:dyDescent="0.25">
      <c r="A37">
        <v>5996651</v>
      </c>
      <c r="B37" t="s">
        <v>18</v>
      </c>
      <c r="C37" t="s">
        <v>692</v>
      </c>
      <c r="D37" s="1">
        <v>45291</v>
      </c>
      <c r="E37" s="1">
        <v>45291</v>
      </c>
      <c r="F37">
        <v>102010302</v>
      </c>
      <c r="G37" s="15" t="s">
        <v>33</v>
      </c>
      <c r="H37">
        <v>0</v>
      </c>
      <c r="I37" t="s">
        <v>21</v>
      </c>
    </row>
    <row r="38" spans="1:9" x14ac:dyDescent="0.25">
      <c r="A38">
        <v>5996652</v>
      </c>
      <c r="B38" t="s">
        <v>18</v>
      </c>
      <c r="C38" t="s">
        <v>692</v>
      </c>
      <c r="D38" s="1">
        <v>45291</v>
      </c>
      <c r="E38" s="1">
        <v>45291</v>
      </c>
      <c r="F38">
        <v>1020104</v>
      </c>
      <c r="G38" s="15" t="s">
        <v>31</v>
      </c>
      <c r="H38">
        <v>0</v>
      </c>
      <c r="I38" t="s">
        <v>21</v>
      </c>
    </row>
    <row r="39" spans="1:9" x14ac:dyDescent="0.25">
      <c r="A39">
        <v>5996653</v>
      </c>
      <c r="B39" t="s">
        <v>18</v>
      </c>
      <c r="C39" t="s">
        <v>692</v>
      </c>
      <c r="D39" s="1">
        <v>45291</v>
      </c>
      <c r="E39" s="1">
        <v>45291</v>
      </c>
      <c r="F39">
        <v>102010401</v>
      </c>
      <c r="G39" s="14" t="s">
        <v>32</v>
      </c>
      <c r="H39">
        <v>0</v>
      </c>
      <c r="I39" t="s">
        <v>21</v>
      </c>
    </row>
    <row r="40" spans="1:9" x14ac:dyDescent="0.25">
      <c r="A40">
        <v>5996654</v>
      </c>
      <c r="B40" t="s">
        <v>18</v>
      </c>
      <c r="C40" t="s">
        <v>692</v>
      </c>
      <c r="D40" s="1">
        <v>45291</v>
      </c>
      <c r="E40" s="1">
        <v>45291</v>
      </c>
      <c r="F40">
        <v>102010402</v>
      </c>
      <c r="G40" s="15" t="s">
        <v>33</v>
      </c>
      <c r="H40">
        <v>0</v>
      </c>
      <c r="I40" t="s">
        <v>21</v>
      </c>
    </row>
    <row r="41" spans="1:9" x14ac:dyDescent="0.25">
      <c r="A41">
        <v>5996655</v>
      </c>
      <c r="B41" t="s">
        <v>18</v>
      </c>
      <c r="C41" t="s">
        <v>692</v>
      </c>
      <c r="D41" s="1">
        <v>45291</v>
      </c>
      <c r="E41" s="1">
        <v>45291</v>
      </c>
      <c r="F41">
        <v>1020105</v>
      </c>
      <c r="G41" s="15" t="s">
        <v>34</v>
      </c>
      <c r="H41">
        <v>0</v>
      </c>
      <c r="I41" t="s">
        <v>21</v>
      </c>
    </row>
    <row r="42" spans="1:9" x14ac:dyDescent="0.25">
      <c r="A42">
        <v>5996656</v>
      </c>
      <c r="B42" t="s">
        <v>18</v>
      </c>
      <c r="C42" t="s">
        <v>692</v>
      </c>
      <c r="D42" s="1">
        <v>45291</v>
      </c>
      <c r="E42" s="1">
        <v>45291</v>
      </c>
      <c r="F42">
        <v>102010503</v>
      </c>
      <c r="G42" s="14" t="s">
        <v>48</v>
      </c>
      <c r="H42">
        <v>0</v>
      </c>
      <c r="I42" t="s">
        <v>21</v>
      </c>
    </row>
    <row r="43" spans="1:9" x14ac:dyDescent="0.25">
      <c r="A43">
        <v>5996657</v>
      </c>
      <c r="B43" t="s">
        <v>18</v>
      </c>
      <c r="C43" t="s">
        <v>692</v>
      </c>
      <c r="D43" s="1">
        <v>45291</v>
      </c>
      <c r="E43" s="1">
        <v>45291</v>
      </c>
      <c r="F43">
        <v>102010504</v>
      </c>
      <c r="G43" s="15" t="s">
        <v>49</v>
      </c>
      <c r="H43">
        <v>0</v>
      </c>
      <c r="I43" t="s">
        <v>21</v>
      </c>
    </row>
    <row r="44" spans="1:9" x14ac:dyDescent="0.25">
      <c r="A44">
        <v>5996658</v>
      </c>
      <c r="B44" t="s">
        <v>18</v>
      </c>
      <c r="C44" t="s">
        <v>692</v>
      </c>
      <c r="D44" s="1">
        <v>45291</v>
      </c>
      <c r="E44" s="1">
        <v>45291</v>
      </c>
      <c r="F44">
        <v>102010505</v>
      </c>
      <c r="G44" s="15" t="s">
        <v>50</v>
      </c>
      <c r="H44">
        <v>0</v>
      </c>
      <c r="I44" t="s">
        <v>21</v>
      </c>
    </row>
    <row r="45" spans="1:9" x14ac:dyDescent="0.25">
      <c r="A45">
        <v>5996659</v>
      </c>
      <c r="B45" t="s">
        <v>18</v>
      </c>
      <c r="C45" t="s">
        <v>692</v>
      </c>
      <c r="D45" s="1">
        <v>45291</v>
      </c>
      <c r="E45" s="1">
        <v>45291</v>
      </c>
      <c r="F45">
        <v>1020106</v>
      </c>
      <c r="G45" s="15" t="s">
        <v>35</v>
      </c>
      <c r="H45">
        <v>0</v>
      </c>
      <c r="I45" t="s">
        <v>21</v>
      </c>
    </row>
    <row r="46" spans="1:9" x14ac:dyDescent="0.25">
      <c r="A46">
        <v>5996660</v>
      </c>
      <c r="B46" t="s">
        <v>18</v>
      </c>
      <c r="C46" t="s">
        <v>692</v>
      </c>
      <c r="D46" s="1">
        <v>45291</v>
      </c>
      <c r="E46" s="1">
        <v>45291</v>
      </c>
      <c r="F46">
        <v>1020107</v>
      </c>
      <c r="G46" s="14" t="s">
        <v>51</v>
      </c>
      <c r="H46">
        <v>4821000</v>
      </c>
      <c r="I46" t="s">
        <v>21</v>
      </c>
    </row>
    <row r="47" spans="1:9" x14ac:dyDescent="0.25">
      <c r="A47">
        <v>5996661</v>
      </c>
      <c r="B47" t="s">
        <v>18</v>
      </c>
      <c r="C47" t="s">
        <v>692</v>
      </c>
      <c r="D47" s="1">
        <v>45291</v>
      </c>
      <c r="E47" s="1">
        <v>45291</v>
      </c>
      <c r="F47">
        <v>102010701</v>
      </c>
      <c r="G47" s="14" t="s">
        <v>52</v>
      </c>
      <c r="H47">
        <v>4821000</v>
      </c>
      <c r="I47" t="s">
        <v>21</v>
      </c>
    </row>
    <row r="48" spans="1:9" x14ac:dyDescent="0.25">
      <c r="A48">
        <v>5996662</v>
      </c>
      <c r="B48" t="s">
        <v>18</v>
      </c>
      <c r="C48" t="s">
        <v>692</v>
      </c>
      <c r="D48" s="1">
        <v>45291</v>
      </c>
      <c r="E48" s="1">
        <v>45291</v>
      </c>
      <c r="F48">
        <v>1020108</v>
      </c>
      <c r="G48" s="15" t="s">
        <v>40</v>
      </c>
      <c r="H48">
        <v>0</v>
      </c>
      <c r="I48" t="s">
        <v>21</v>
      </c>
    </row>
    <row r="49" spans="1:9" x14ac:dyDescent="0.25">
      <c r="A49">
        <v>5996663</v>
      </c>
      <c r="B49" t="s">
        <v>18</v>
      </c>
      <c r="C49" t="s">
        <v>692</v>
      </c>
      <c r="D49" s="1">
        <v>45291</v>
      </c>
      <c r="E49" s="1">
        <v>45291</v>
      </c>
      <c r="F49">
        <v>1020109</v>
      </c>
      <c r="G49" s="14" t="s">
        <v>53</v>
      </c>
      <c r="H49">
        <v>0</v>
      </c>
      <c r="I49" t="s">
        <v>21</v>
      </c>
    </row>
    <row r="50" spans="1:9" x14ac:dyDescent="0.25">
      <c r="A50">
        <v>5996664</v>
      </c>
      <c r="B50" t="s">
        <v>18</v>
      </c>
      <c r="C50" t="s">
        <v>692</v>
      </c>
      <c r="D50" s="1">
        <v>45291</v>
      </c>
      <c r="E50" s="1">
        <v>45291</v>
      </c>
      <c r="F50">
        <v>102010901</v>
      </c>
      <c r="G50" s="14" t="s">
        <v>54</v>
      </c>
      <c r="H50">
        <v>0</v>
      </c>
      <c r="I50" t="s">
        <v>21</v>
      </c>
    </row>
    <row r="51" spans="1:9" x14ac:dyDescent="0.25">
      <c r="A51">
        <v>5996665</v>
      </c>
      <c r="B51" t="s">
        <v>18</v>
      </c>
      <c r="C51" t="s">
        <v>692</v>
      </c>
      <c r="D51" s="1">
        <v>45291</v>
      </c>
      <c r="E51" s="1">
        <v>45291</v>
      </c>
      <c r="F51">
        <v>102010903</v>
      </c>
      <c r="G51" s="15" t="s">
        <v>55</v>
      </c>
      <c r="H51">
        <v>0</v>
      </c>
      <c r="I51" t="s">
        <v>21</v>
      </c>
    </row>
    <row r="52" spans="1:9" x14ac:dyDescent="0.25">
      <c r="A52">
        <v>5996666</v>
      </c>
      <c r="B52" t="s">
        <v>18</v>
      </c>
      <c r="C52" t="s">
        <v>692</v>
      </c>
      <c r="D52" s="1">
        <v>45291</v>
      </c>
      <c r="E52" s="1">
        <v>45291</v>
      </c>
      <c r="F52">
        <v>102010904</v>
      </c>
      <c r="G52" s="15" t="s">
        <v>56</v>
      </c>
      <c r="H52">
        <v>0</v>
      </c>
      <c r="I52" t="s">
        <v>21</v>
      </c>
    </row>
    <row r="53" spans="1:9" x14ac:dyDescent="0.25">
      <c r="A53">
        <v>5996667</v>
      </c>
      <c r="B53" t="s">
        <v>18</v>
      </c>
      <c r="C53" t="s">
        <v>692</v>
      </c>
      <c r="D53" s="1">
        <v>45291</v>
      </c>
      <c r="E53" s="1">
        <v>45291</v>
      </c>
      <c r="F53">
        <v>102010905</v>
      </c>
      <c r="G53" s="15" t="s">
        <v>57</v>
      </c>
      <c r="H53">
        <v>0</v>
      </c>
      <c r="I53" t="s">
        <v>21</v>
      </c>
    </row>
    <row r="54" spans="1:9" x14ac:dyDescent="0.25">
      <c r="A54">
        <v>5996668</v>
      </c>
      <c r="B54" t="s">
        <v>18</v>
      </c>
      <c r="C54" t="s">
        <v>692</v>
      </c>
      <c r="D54" s="1">
        <v>45291</v>
      </c>
      <c r="E54" s="1">
        <v>45291</v>
      </c>
      <c r="F54">
        <v>1020110</v>
      </c>
      <c r="G54" s="15" t="s">
        <v>50</v>
      </c>
      <c r="H54">
        <v>3893000</v>
      </c>
      <c r="I54" t="s">
        <v>21</v>
      </c>
    </row>
    <row r="55" spans="1:9" x14ac:dyDescent="0.25">
      <c r="A55">
        <v>5996669</v>
      </c>
      <c r="B55" t="s">
        <v>18</v>
      </c>
      <c r="C55" t="s">
        <v>692</v>
      </c>
      <c r="D55" s="1">
        <v>45291</v>
      </c>
      <c r="E55" s="1">
        <v>45291</v>
      </c>
      <c r="F55">
        <v>102011001</v>
      </c>
      <c r="G55" s="14" t="s">
        <v>42</v>
      </c>
      <c r="H55">
        <v>0</v>
      </c>
      <c r="I55" t="s">
        <v>21</v>
      </c>
    </row>
    <row r="56" spans="1:9" x14ac:dyDescent="0.25">
      <c r="A56">
        <v>5996670</v>
      </c>
      <c r="B56" t="s">
        <v>18</v>
      </c>
      <c r="C56" t="s">
        <v>692</v>
      </c>
      <c r="D56" s="1">
        <v>45291</v>
      </c>
      <c r="E56" s="1">
        <v>45291</v>
      </c>
      <c r="F56">
        <v>102011002</v>
      </c>
      <c r="G56" s="15" t="s">
        <v>43</v>
      </c>
      <c r="H56">
        <v>0</v>
      </c>
      <c r="I56" t="s">
        <v>21</v>
      </c>
    </row>
    <row r="57" spans="1:9" x14ac:dyDescent="0.25">
      <c r="A57">
        <v>5996671</v>
      </c>
      <c r="B57" t="s">
        <v>18</v>
      </c>
      <c r="C57" t="s">
        <v>692</v>
      </c>
      <c r="D57" s="1">
        <v>45291</v>
      </c>
      <c r="E57" s="1">
        <v>45291</v>
      </c>
      <c r="F57">
        <v>102011003</v>
      </c>
      <c r="G57" s="15" t="s">
        <v>48</v>
      </c>
      <c r="H57">
        <v>630000</v>
      </c>
      <c r="I57" t="s">
        <v>21</v>
      </c>
    </row>
    <row r="58" spans="1:9" x14ac:dyDescent="0.25">
      <c r="A58">
        <v>5996672</v>
      </c>
      <c r="B58" t="s">
        <v>18</v>
      </c>
      <c r="C58" t="s">
        <v>692</v>
      </c>
      <c r="D58" s="1">
        <v>45291</v>
      </c>
      <c r="E58" s="1">
        <v>45291</v>
      </c>
      <c r="F58">
        <v>102011004</v>
      </c>
      <c r="G58" s="15" t="s">
        <v>49</v>
      </c>
      <c r="H58">
        <v>3048000</v>
      </c>
      <c r="I58" t="s">
        <v>21</v>
      </c>
    </row>
    <row r="59" spans="1:9" x14ac:dyDescent="0.25">
      <c r="A59">
        <v>5996673</v>
      </c>
      <c r="B59" t="s">
        <v>18</v>
      </c>
      <c r="C59" t="s">
        <v>692</v>
      </c>
      <c r="D59" s="1">
        <v>45291</v>
      </c>
      <c r="E59" s="1">
        <v>45291</v>
      </c>
      <c r="F59">
        <v>102011005</v>
      </c>
      <c r="G59" s="15" t="s">
        <v>50</v>
      </c>
      <c r="H59">
        <v>7000</v>
      </c>
      <c r="I59" t="s">
        <v>21</v>
      </c>
    </row>
    <row r="60" spans="1:9" x14ac:dyDescent="0.25">
      <c r="A60">
        <v>5996674</v>
      </c>
      <c r="B60" t="s">
        <v>18</v>
      </c>
      <c r="C60" t="s">
        <v>692</v>
      </c>
      <c r="D60" s="1">
        <v>45291</v>
      </c>
      <c r="E60" s="1">
        <v>45291</v>
      </c>
      <c r="F60">
        <v>102011006</v>
      </c>
      <c r="G60" s="15" t="s">
        <v>45</v>
      </c>
      <c r="H60">
        <v>0</v>
      </c>
      <c r="I60" t="s">
        <v>21</v>
      </c>
    </row>
    <row r="61" spans="1:9" x14ac:dyDescent="0.25">
      <c r="A61">
        <v>5996675</v>
      </c>
      <c r="B61" t="s">
        <v>18</v>
      </c>
      <c r="C61" t="s">
        <v>692</v>
      </c>
      <c r="D61" s="1">
        <v>45291</v>
      </c>
      <c r="E61" s="1">
        <v>45291</v>
      </c>
      <c r="F61">
        <v>102011007</v>
      </c>
      <c r="G61" s="15" t="s">
        <v>39</v>
      </c>
      <c r="H61">
        <v>208000</v>
      </c>
      <c r="I61" t="s">
        <v>21</v>
      </c>
    </row>
    <row r="62" spans="1:9" x14ac:dyDescent="0.25">
      <c r="A62">
        <v>5996676</v>
      </c>
      <c r="B62" t="s">
        <v>18</v>
      </c>
      <c r="C62" t="s">
        <v>692</v>
      </c>
      <c r="D62" s="1">
        <v>45291</v>
      </c>
      <c r="E62" s="1">
        <v>45291</v>
      </c>
      <c r="F62">
        <v>10202</v>
      </c>
      <c r="G62" s="15" t="s">
        <v>58</v>
      </c>
      <c r="H62">
        <v>29000</v>
      </c>
      <c r="I62" t="s">
        <v>21</v>
      </c>
    </row>
    <row r="63" spans="1:9" x14ac:dyDescent="0.25">
      <c r="A63">
        <v>5996677</v>
      </c>
      <c r="B63" t="s">
        <v>18</v>
      </c>
      <c r="C63" t="s">
        <v>692</v>
      </c>
      <c r="D63" s="1">
        <v>45291</v>
      </c>
      <c r="E63" s="1">
        <v>45291</v>
      </c>
      <c r="F63">
        <v>1020201</v>
      </c>
      <c r="G63" s="2" t="s">
        <v>59</v>
      </c>
      <c r="H63">
        <v>29000</v>
      </c>
      <c r="I63" t="s">
        <v>21</v>
      </c>
    </row>
    <row r="64" spans="1:9" x14ac:dyDescent="0.25">
      <c r="A64">
        <v>5996678</v>
      </c>
      <c r="B64" t="s">
        <v>18</v>
      </c>
      <c r="C64" t="s">
        <v>692</v>
      </c>
      <c r="D64" s="1">
        <v>45291</v>
      </c>
      <c r="E64" s="1">
        <v>45291</v>
      </c>
      <c r="F64">
        <v>102020101</v>
      </c>
      <c r="G64" s="14" t="s">
        <v>60</v>
      </c>
      <c r="H64">
        <v>29000</v>
      </c>
      <c r="I64" t="s">
        <v>21</v>
      </c>
    </row>
    <row r="65" spans="1:9" x14ac:dyDescent="0.25">
      <c r="A65">
        <v>5996679</v>
      </c>
      <c r="B65" t="s">
        <v>18</v>
      </c>
      <c r="C65" t="s">
        <v>692</v>
      </c>
      <c r="D65" s="1">
        <v>45291</v>
      </c>
      <c r="E65" s="1">
        <v>45291</v>
      </c>
      <c r="F65">
        <v>102020104</v>
      </c>
      <c r="G65" s="15" t="s">
        <v>61</v>
      </c>
      <c r="H65">
        <v>0</v>
      </c>
      <c r="I65" t="s">
        <v>21</v>
      </c>
    </row>
    <row r="66" spans="1:9" x14ac:dyDescent="0.25">
      <c r="A66">
        <v>5996680</v>
      </c>
      <c r="B66" t="s">
        <v>18</v>
      </c>
      <c r="C66" t="s">
        <v>692</v>
      </c>
      <c r="D66" s="1">
        <v>45291</v>
      </c>
      <c r="E66" s="1">
        <v>45291</v>
      </c>
      <c r="F66">
        <v>102020105</v>
      </c>
      <c r="G66" s="15" t="s">
        <v>62</v>
      </c>
      <c r="H66">
        <v>0</v>
      </c>
      <c r="I66" t="s">
        <v>21</v>
      </c>
    </row>
    <row r="67" spans="1:9" x14ac:dyDescent="0.25">
      <c r="A67">
        <v>5996681</v>
      </c>
      <c r="B67" t="s">
        <v>18</v>
      </c>
      <c r="C67" t="s">
        <v>692</v>
      </c>
      <c r="D67" s="1">
        <v>45291</v>
      </c>
      <c r="E67" s="1">
        <v>45291</v>
      </c>
      <c r="F67">
        <v>1020202</v>
      </c>
      <c r="G67" s="15" t="s">
        <v>63</v>
      </c>
      <c r="H67">
        <v>0</v>
      </c>
      <c r="I67" t="s">
        <v>21</v>
      </c>
    </row>
    <row r="68" spans="1:9" x14ac:dyDescent="0.25">
      <c r="A68">
        <v>5996682</v>
      </c>
      <c r="B68" t="s">
        <v>18</v>
      </c>
      <c r="C68" t="s">
        <v>692</v>
      </c>
      <c r="D68" s="1">
        <v>45291</v>
      </c>
      <c r="E68" s="1">
        <v>45291</v>
      </c>
      <c r="F68">
        <v>10203</v>
      </c>
      <c r="G68" s="14" t="s">
        <v>64</v>
      </c>
      <c r="H68">
        <v>6466000</v>
      </c>
      <c r="I68" t="s">
        <v>21</v>
      </c>
    </row>
    <row r="69" spans="1:9" x14ac:dyDescent="0.25">
      <c r="A69">
        <v>5996683</v>
      </c>
      <c r="B69" t="s">
        <v>18</v>
      </c>
      <c r="C69" t="s">
        <v>692</v>
      </c>
      <c r="D69" s="1">
        <v>45291</v>
      </c>
      <c r="E69" s="1">
        <v>45291</v>
      </c>
      <c r="F69">
        <v>1020301</v>
      </c>
      <c r="G69" s="2" t="s">
        <v>65</v>
      </c>
      <c r="H69">
        <v>2381000</v>
      </c>
      <c r="I69" t="s">
        <v>21</v>
      </c>
    </row>
    <row r="70" spans="1:9" x14ac:dyDescent="0.25">
      <c r="A70">
        <v>5996684</v>
      </c>
      <c r="B70" t="s">
        <v>18</v>
      </c>
      <c r="C70" t="s">
        <v>692</v>
      </c>
      <c r="D70" s="1">
        <v>45291</v>
      </c>
      <c r="E70" s="1">
        <v>45291</v>
      </c>
      <c r="F70">
        <v>1020302</v>
      </c>
      <c r="G70" s="14" t="s">
        <v>66</v>
      </c>
      <c r="H70">
        <v>4085000</v>
      </c>
      <c r="I70" t="s">
        <v>21</v>
      </c>
    </row>
    <row r="71" spans="1:9" x14ac:dyDescent="0.25">
      <c r="A71">
        <v>5996685</v>
      </c>
      <c r="B71" t="s">
        <v>18</v>
      </c>
      <c r="C71" t="s">
        <v>692</v>
      </c>
      <c r="D71" s="1">
        <v>45291</v>
      </c>
      <c r="E71" s="1">
        <v>45291</v>
      </c>
      <c r="F71">
        <v>102030201</v>
      </c>
      <c r="G71" s="14" t="s">
        <v>67</v>
      </c>
      <c r="H71">
        <v>4085000</v>
      </c>
      <c r="I71" t="s">
        <v>21</v>
      </c>
    </row>
    <row r="72" spans="1:9" x14ac:dyDescent="0.25">
      <c r="A72">
        <v>5996686</v>
      </c>
      <c r="B72" t="s">
        <v>18</v>
      </c>
      <c r="C72" t="s">
        <v>692</v>
      </c>
      <c r="D72" s="1">
        <v>45291</v>
      </c>
      <c r="E72" s="1">
        <v>45291</v>
      </c>
      <c r="F72">
        <v>1020303</v>
      </c>
      <c r="G72" s="15" t="s">
        <v>68</v>
      </c>
      <c r="H72">
        <v>0</v>
      </c>
      <c r="I72" t="s">
        <v>21</v>
      </c>
    </row>
    <row r="73" spans="1:9" x14ac:dyDescent="0.25">
      <c r="A73">
        <v>5996687</v>
      </c>
      <c r="B73" t="s">
        <v>18</v>
      </c>
      <c r="C73" t="s">
        <v>692</v>
      </c>
      <c r="D73" s="1">
        <v>45291</v>
      </c>
      <c r="E73" s="1">
        <v>45291</v>
      </c>
      <c r="F73">
        <v>10204</v>
      </c>
      <c r="G73" s="14" t="s">
        <v>69</v>
      </c>
      <c r="H73">
        <v>1179000</v>
      </c>
      <c r="I73" t="s">
        <v>21</v>
      </c>
    </row>
    <row r="74" spans="1:9" x14ac:dyDescent="0.25">
      <c r="A74">
        <v>5996688</v>
      </c>
      <c r="B74" t="s">
        <v>18</v>
      </c>
      <c r="C74" t="s">
        <v>692</v>
      </c>
      <c r="D74" s="1">
        <v>45291</v>
      </c>
      <c r="E74" s="1">
        <v>45291</v>
      </c>
      <c r="F74">
        <v>1020401</v>
      </c>
      <c r="G74" s="2" t="s">
        <v>70</v>
      </c>
      <c r="H74">
        <v>1179000</v>
      </c>
      <c r="I74" t="s">
        <v>21</v>
      </c>
    </row>
    <row r="75" spans="1:9" x14ac:dyDescent="0.25">
      <c r="A75">
        <v>5996689</v>
      </c>
      <c r="B75" t="s">
        <v>18</v>
      </c>
      <c r="C75" t="s">
        <v>692</v>
      </c>
      <c r="D75" s="1">
        <v>45291</v>
      </c>
      <c r="E75" s="1">
        <v>45291</v>
      </c>
      <c r="F75">
        <v>102040101</v>
      </c>
      <c r="G75" s="14" t="s">
        <v>71</v>
      </c>
      <c r="H75">
        <v>0</v>
      </c>
      <c r="I75" t="s">
        <v>21</v>
      </c>
    </row>
    <row r="76" spans="1:9" x14ac:dyDescent="0.25">
      <c r="A76">
        <v>5996690</v>
      </c>
      <c r="B76" t="s">
        <v>18</v>
      </c>
      <c r="C76" t="s">
        <v>692</v>
      </c>
      <c r="D76" s="1">
        <v>45291</v>
      </c>
      <c r="E76" s="1">
        <v>45291</v>
      </c>
      <c r="F76">
        <v>1020402</v>
      </c>
      <c r="G76" s="15" t="s">
        <v>72</v>
      </c>
      <c r="H76">
        <v>0</v>
      </c>
      <c r="I76" t="s">
        <v>21</v>
      </c>
    </row>
    <row r="77" spans="1:9" x14ac:dyDescent="0.25">
      <c r="A77">
        <v>5996691</v>
      </c>
      <c r="B77" t="s">
        <v>18</v>
      </c>
      <c r="C77" t="s">
        <v>692</v>
      </c>
      <c r="D77" s="1">
        <v>45291</v>
      </c>
      <c r="E77" s="1">
        <v>45291</v>
      </c>
      <c r="F77">
        <v>2</v>
      </c>
      <c r="G77" s="14" t="s">
        <v>73</v>
      </c>
      <c r="H77">
        <v>27115000</v>
      </c>
      <c r="I77" t="s">
        <v>21</v>
      </c>
    </row>
    <row r="78" spans="1:9" ht="15.75" x14ac:dyDescent="0.25">
      <c r="A78">
        <v>5996692</v>
      </c>
      <c r="B78" t="s">
        <v>18</v>
      </c>
      <c r="C78" t="s">
        <v>692</v>
      </c>
      <c r="D78" s="1">
        <v>45291</v>
      </c>
      <c r="E78" s="1">
        <v>45291</v>
      </c>
      <c r="F78">
        <v>201</v>
      </c>
      <c r="G78" s="12" t="s">
        <v>3</v>
      </c>
      <c r="H78">
        <v>49275000</v>
      </c>
      <c r="I78" t="s">
        <v>21</v>
      </c>
    </row>
    <row r="79" spans="1:9" x14ac:dyDescent="0.25">
      <c r="A79">
        <v>5996693</v>
      </c>
      <c r="B79" t="s">
        <v>18</v>
      </c>
      <c r="C79" t="s">
        <v>692</v>
      </c>
      <c r="D79" s="1">
        <v>45291</v>
      </c>
      <c r="E79" s="1">
        <v>45291</v>
      </c>
      <c r="F79">
        <v>20101</v>
      </c>
      <c r="G79" s="13" t="s">
        <v>74</v>
      </c>
      <c r="H79">
        <v>307000</v>
      </c>
      <c r="I79" t="s">
        <v>21</v>
      </c>
    </row>
    <row r="80" spans="1:9" x14ac:dyDescent="0.25">
      <c r="A80">
        <v>5996694</v>
      </c>
      <c r="B80" t="s">
        <v>18</v>
      </c>
      <c r="C80" t="s">
        <v>692</v>
      </c>
      <c r="D80" s="1">
        <v>45291</v>
      </c>
      <c r="E80" s="1">
        <v>45291</v>
      </c>
      <c r="F80">
        <v>2010101</v>
      </c>
      <c r="G80" s="2" t="s">
        <v>75</v>
      </c>
      <c r="H80">
        <v>0</v>
      </c>
      <c r="I80" t="s">
        <v>21</v>
      </c>
    </row>
    <row r="81" spans="1:9" x14ac:dyDescent="0.25">
      <c r="A81">
        <v>5996695</v>
      </c>
      <c r="B81" t="s">
        <v>18</v>
      </c>
      <c r="C81" t="s">
        <v>692</v>
      </c>
      <c r="D81" s="1">
        <v>45291</v>
      </c>
      <c r="E81" s="1">
        <v>45291</v>
      </c>
      <c r="F81">
        <v>2010102</v>
      </c>
      <c r="G81" s="14" t="s">
        <v>76</v>
      </c>
      <c r="H81">
        <v>307000</v>
      </c>
      <c r="I81" t="s">
        <v>21</v>
      </c>
    </row>
    <row r="82" spans="1:9" x14ac:dyDescent="0.25">
      <c r="A82">
        <v>5996696</v>
      </c>
      <c r="B82" t="s">
        <v>18</v>
      </c>
      <c r="C82" t="s">
        <v>692</v>
      </c>
      <c r="D82" s="1">
        <v>45291</v>
      </c>
      <c r="E82" s="1">
        <v>45291</v>
      </c>
      <c r="F82">
        <v>201010201</v>
      </c>
      <c r="G82" s="14" t="s">
        <v>77</v>
      </c>
      <c r="H82">
        <v>307000</v>
      </c>
      <c r="I82" t="s">
        <v>21</v>
      </c>
    </row>
    <row r="83" spans="1:9" x14ac:dyDescent="0.25">
      <c r="A83">
        <v>5996697</v>
      </c>
      <c r="B83" t="s">
        <v>18</v>
      </c>
      <c r="C83" t="s">
        <v>692</v>
      </c>
      <c r="D83" s="1">
        <v>45291</v>
      </c>
      <c r="E83" s="1">
        <v>45291</v>
      </c>
      <c r="F83">
        <v>20102</v>
      </c>
      <c r="G83" s="15" t="s">
        <v>78</v>
      </c>
      <c r="H83">
        <v>5866000</v>
      </c>
      <c r="I83" t="s">
        <v>21</v>
      </c>
    </row>
    <row r="84" spans="1:9" x14ac:dyDescent="0.25">
      <c r="A84">
        <v>5996698</v>
      </c>
      <c r="B84" t="s">
        <v>18</v>
      </c>
      <c r="C84" t="s">
        <v>692</v>
      </c>
      <c r="D84" s="1">
        <v>45291</v>
      </c>
      <c r="E84" s="1">
        <v>45291</v>
      </c>
      <c r="F84">
        <v>2010201</v>
      </c>
      <c r="G84" s="2" t="s">
        <v>79</v>
      </c>
      <c r="H84">
        <v>5866000</v>
      </c>
      <c r="I84" t="s">
        <v>21</v>
      </c>
    </row>
    <row r="85" spans="1:9" x14ac:dyDescent="0.25">
      <c r="A85">
        <v>5996699</v>
      </c>
      <c r="B85" t="s">
        <v>18</v>
      </c>
      <c r="C85" t="s">
        <v>692</v>
      </c>
      <c r="D85" s="1">
        <v>45291</v>
      </c>
      <c r="E85" s="1">
        <v>45291</v>
      </c>
      <c r="F85">
        <v>201020101</v>
      </c>
      <c r="G85" s="14" t="s">
        <v>79</v>
      </c>
      <c r="H85">
        <v>5866000</v>
      </c>
      <c r="I85" t="s">
        <v>21</v>
      </c>
    </row>
    <row r="86" spans="1:9" x14ac:dyDescent="0.25">
      <c r="A86">
        <v>5996700</v>
      </c>
      <c r="B86" t="s">
        <v>18</v>
      </c>
      <c r="C86" t="s">
        <v>692</v>
      </c>
      <c r="D86" s="1">
        <v>45291</v>
      </c>
      <c r="E86" s="1">
        <v>45291</v>
      </c>
      <c r="F86">
        <v>2010202</v>
      </c>
      <c r="G86" s="15" t="s">
        <v>80</v>
      </c>
      <c r="H86">
        <v>0</v>
      </c>
      <c r="I86" t="s">
        <v>21</v>
      </c>
    </row>
    <row r="87" spans="1:9" x14ac:dyDescent="0.25">
      <c r="A87">
        <v>5996701</v>
      </c>
      <c r="B87" t="s">
        <v>18</v>
      </c>
      <c r="C87" t="s">
        <v>692</v>
      </c>
      <c r="D87" s="1">
        <v>45291</v>
      </c>
      <c r="E87" s="1">
        <v>45291</v>
      </c>
      <c r="F87">
        <v>20103</v>
      </c>
      <c r="G87" s="14" t="s">
        <v>81</v>
      </c>
      <c r="H87">
        <v>1371000</v>
      </c>
      <c r="I87" t="s">
        <v>21</v>
      </c>
    </row>
    <row r="88" spans="1:9" x14ac:dyDescent="0.25">
      <c r="A88">
        <v>5996702</v>
      </c>
      <c r="B88" t="s">
        <v>18</v>
      </c>
      <c r="C88" t="s">
        <v>692</v>
      </c>
      <c r="D88" s="1">
        <v>45291</v>
      </c>
      <c r="E88" s="1">
        <v>45291</v>
      </c>
      <c r="F88">
        <v>2010301</v>
      </c>
      <c r="G88" s="2" t="s">
        <v>82</v>
      </c>
      <c r="H88">
        <v>656000</v>
      </c>
      <c r="I88" t="s">
        <v>21</v>
      </c>
    </row>
    <row r="89" spans="1:9" x14ac:dyDescent="0.25">
      <c r="A89">
        <v>5996703</v>
      </c>
      <c r="B89" t="s">
        <v>18</v>
      </c>
      <c r="C89" t="s">
        <v>692</v>
      </c>
      <c r="D89" s="1">
        <v>45291</v>
      </c>
      <c r="E89" s="1">
        <v>45291</v>
      </c>
      <c r="F89">
        <v>201030101</v>
      </c>
      <c r="G89" s="14" t="s">
        <v>83</v>
      </c>
      <c r="H89">
        <v>16000</v>
      </c>
      <c r="I89" t="s">
        <v>21</v>
      </c>
    </row>
    <row r="90" spans="1:9" x14ac:dyDescent="0.25">
      <c r="A90">
        <v>5996704</v>
      </c>
      <c r="B90" t="s">
        <v>18</v>
      </c>
      <c r="C90" t="s">
        <v>692</v>
      </c>
      <c r="D90" s="1">
        <v>45291</v>
      </c>
      <c r="E90" s="1">
        <v>45291</v>
      </c>
      <c r="F90">
        <v>201030102</v>
      </c>
      <c r="G90" s="15" t="s">
        <v>693</v>
      </c>
      <c r="H90">
        <v>7000</v>
      </c>
      <c r="I90" t="s">
        <v>21</v>
      </c>
    </row>
    <row r="91" spans="1:9" x14ac:dyDescent="0.25">
      <c r="A91">
        <v>5996705</v>
      </c>
      <c r="B91" t="s">
        <v>18</v>
      </c>
      <c r="C91" t="s">
        <v>692</v>
      </c>
      <c r="D91" s="1">
        <v>45291</v>
      </c>
      <c r="E91" s="1">
        <v>45291</v>
      </c>
      <c r="F91">
        <v>201030103</v>
      </c>
      <c r="G91" s="15" t="s">
        <v>85</v>
      </c>
      <c r="H91">
        <v>14000</v>
      </c>
      <c r="I91" t="s">
        <v>21</v>
      </c>
    </row>
    <row r="92" spans="1:9" x14ac:dyDescent="0.25">
      <c r="A92">
        <v>5996706</v>
      </c>
      <c r="B92" t="s">
        <v>18</v>
      </c>
      <c r="C92" t="s">
        <v>692</v>
      </c>
      <c r="D92" s="1">
        <v>45291</v>
      </c>
      <c r="E92" s="1">
        <v>45291</v>
      </c>
      <c r="F92">
        <v>201030104</v>
      </c>
      <c r="G92" s="15" t="s">
        <v>86</v>
      </c>
      <c r="H92">
        <v>614000</v>
      </c>
      <c r="I92" t="s">
        <v>21</v>
      </c>
    </row>
    <row r="93" spans="1:9" x14ac:dyDescent="0.25">
      <c r="A93">
        <v>5996707</v>
      </c>
      <c r="B93" t="s">
        <v>18</v>
      </c>
      <c r="C93" t="s">
        <v>692</v>
      </c>
      <c r="D93" s="1">
        <v>45291</v>
      </c>
      <c r="E93" s="1">
        <v>45291</v>
      </c>
      <c r="F93">
        <v>201030105</v>
      </c>
      <c r="G93" s="15" t="s">
        <v>44</v>
      </c>
      <c r="H93">
        <v>5000</v>
      </c>
      <c r="I93" t="s">
        <v>21</v>
      </c>
    </row>
    <row r="94" spans="1:9" x14ac:dyDescent="0.25">
      <c r="A94">
        <v>5996708</v>
      </c>
      <c r="B94" t="s">
        <v>18</v>
      </c>
      <c r="C94" t="s">
        <v>692</v>
      </c>
      <c r="D94" s="1">
        <v>45291</v>
      </c>
      <c r="E94" s="1">
        <v>45291</v>
      </c>
      <c r="F94">
        <v>2010302</v>
      </c>
      <c r="G94" s="15" t="s">
        <v>88</v>
      </c>
      <c r="H94">
        <v>694000</v>
      </c>
      <c r="I94" t="s">
        <v>21</v>
      </c>
    </row>
    <row r="95" spans="1:9" x14ac:dyDescent="0.25">
      <c r="A95">
        <v>5996709</v>
      </c>
      <c r="B95" t="s">
        <v>18</v>
      </c>
      <c r="C95" t="s">
        <v>692</v>
      </c>
      <c r="D95" s="1">
        <v>45291</v>
      </c>
      <c r="E95" s="1">
        <v>45291</v>
      </c>
      <c r="F95">
        <v>201030201</v>
      </c>
      <c r="G95" s="15" t="s">
        <v>89</v>
      </c>
      <c r="H95">
        <v>694000</v>
      </c>
      <c r="I95" t="s">
        <v>21</v>
      </c>
    </row>
    <row r="96" spans="1:9" x14ac:dyDescent="0.25">
      <c r="A96">
        <v>5996710</v>
      </c>
      <c r="B96" t="s">
        <v>18</v>
      </c>
      <c r="C96" t="s">
        <v>692</v>
      </c>
      <c r="D96" s="1">
        <v>45291</v>
      </c>
      <c r="E96" s="1">
        <v>45291</v>
      </c>
      <c r="F96">
        <v>2010303</v>
      </c>
      <c r="G96" s="14" t="s">
        <v>91</v>
      </c>
      <c r="H96">
        <v>21000</v>
      </c>
      <c r="I96" t="s">
        <v>21</v>
      </c>
    </row>
    <row r="97" spans="1:9" x14ac:dyDescent="0.25">
      <c r="A97">
        <v>5996711</v>
      </c>
      <c r="B97" t="s">
        <v>18</v>
      </c>
      <c r="C97" t="s">
        <v>692</v>
      </c>
      <c r="D97" s="1">
        <v>45291</v>
      </c>
      <c r="E97" s="1">
        <v>45291</v>
      </c>
      <c r="F97">
        <v>201030301</v>
      </c>
      <c r="G97" s="15" t="s">
        <v>92</v>
      </c>
      <c r="H97">
        <v>21000</v>
      </c>
      <c r="I97" t="s">
        <v>21</v>
      </c>
    </row>
    <row r="98" spans="1:9" x14ac:dyDescent="0.25">
      <c r="A98">
        <v>5996712</v>
      </c>
      <c r="B98" t="s">
        <v>18</v>
      </c>
      <c r="C98" t="s">
        <v>692</v>
      </c>
      <c r="D98" s="1">
        <v>45291</v>
      </c>
      <c r="E98" s="1">
        <v>45291</v>
      </c>
      <c r="F98">
        <v>20104</v>
      </c>
      <c r="G98" s="15" t="s">
        <v>93</v>
      </c>
      <c r="H98">
        <v>23523000</v>
      </c>
      <c r="I98" t="s">
        <v>21</v>
      </c>
    </row>
    <row r="99" spans="1:9" x14ac:dyDescent="0.25">
      <c r="A99">
        <v>5996713</v>
      </c>
      <c r="B99" t="s">
        <v>18</v>
      </c>
      <c r="C99" t="s">
        <v>692</v>
      </c>
      <c r="D99" s="1">
        <v>45291</v>
      </c>
      <c r="E99" s="1">
        <v>45291</v>
      </c>
      <c r="F99">
        <v>2010401</v>
      </c>
      <c r="G99" s="14" t="s">
        <v>93</v>
      </c>
      <c r="H99">
        <v>15889000</v>
      </c>
      <c r="I99" t="s">
        <v>21</v>
      </c>
    </row>
    <row r="100" spans="1:9" x14ac:dyDescent="0.25">
      <c r="A100">
        <v>5996714</v>
      </c>
      <c r="B100" t="s">
        <v>18</v>
      </c>
      <c r="C100" t="s">
        <v>692</v>
      </c>
      <c r="D100" s="1">
        <v>45291</v>
      </c>
      <c r="E100" s="1">
        <v>45291</v>
      </c>
      <c r="F100">
        <v>201040101</v>
      </c>
      <c r="G100" s="15" t="s">
        <v>94</v>
      </c>
      <c r="H100">
        <v>8596000</v>
      </c>
      <c r="I100" t="s">
        <v>21</v>
      </c>
    </row>
    <row r="101" spans="1:9" x14ac:dyDescent="0.25">
      <c r="A101">
        <v>5996715</v>
      </c>
      <c r="B101" t="s">
        <v>18</v>
      </c>
      <c r="C101" t="s">
        <v>692</v>
      </c>
      <c r="D101" s="1">
        <v>45291</v>
      </c>
      <c r="E101" s="1">
        <v>45291</v>
      </c>
      <c r="F101">
        <v>201040102</v>
      </c>
      <c r="G101" s="2" t="s">
        <v>95</v>
      </c>
      <c r="H101">
        <v>7293000</v>
      </c>
      <c r="I101" t="s">
        <v>21</v>
      </c>
    </row>
    <row r="102" spans="1:9" x14ac:dyDescent="0.25">
      <c r="A102">
        <v>5996716</v>
      </c>
      <c r="B102" t="s">
        <v>18</v>
      </c>
      <c r="C102" t="s">
        <v>692</v>
      </c>
      <c r="D102" s="1">
        <v>45291</v>
      </c>
      <c r="E102" s="1">
        <v>45291</v>
      </c>
      <c r="F102">
        <v>2010402</v>
      </c>
      <c r="G102" s="14" t="s">
        <v>96</v>
      </c>
      <c r="H102">
        <v>7634000</v>
      </c>
      <c r="I102" t="s">
        <v>21</v>
      </c>
    </row>
    <row r="103" spans="1:9" x14ac:dyDescent="0.25">
      <c r="A103">
        <v>5996717</v>
      </c>
      <c r="B103" t="s">
        <v>18</v>
      </c>
      <c r="C103" t="s">
        <v>692</v>
      </c>
      <c r="D103" s="1">
        <v>45291</v>
      </c>
      <c r="E103" s="1">
        <v>45291</v>
      </c>
      <c r="F103">
        <v>201040201</v>
      </c>
      <c r="G103" s="15" t="s">
        <v>96</v>
      </c>
      <c r="H103">
        <v>7634000</v>
      </c>
      <c r="I103" t="s">
        <v>21</v>
      </c>
    </row>
    <row r="104" spans="1:9" x14ac:dyDescent="0.25">
      <c r="A104">
        <v>5996718</v>
      </c>
      <c r="B104" t="s">
        <v>18</v>
      </c>
      <c r="C104" t="s">
        <v>692</v>
      </c>
      <c r="D104" s="1">
        <v>45291</v>
      </c>
      <c r="E104" s="1">
        <v>45291</v>
      </c>
      <c r="F104">
        <v>2010403</v>
      </c>
      <c r="G104" s="15" t="s">
        <v>97</v>
      </c>
      <c r="H104">
        <v>0</v>
      </c>
      <c r="I104" t="s">
        <v>21</v>
      </c>
    </row>
    <row r="105" spans="1:9" x14ac:dyDescent="0.25">
      <c r="A105">
        <v>5996719</v>
      </c>
      <c r="B105" t="s">
        <v>18</v>
      </c>
      <c r="C105" t="s">
        <v>692</v>
      </c>
      <c r="D105" s="1">
        <v>45291</v>
      </c>
      <c r="E105" s="1">
        <v>45291</v>
      </c>
      <c r="F105">
        <v>20105</v>
      </c>
      <c r="G105" s="14" t="s">
        <v>98</v>
      </c>
      <c r="H105">
        <v>18151000</v>
      </c>
      <c r="I105" t="s">
        <v>21</v>
      </c>
    </row>
    <row r="106" spans="1:9" x14ac:dyDescent="0.25">
      <c r="A106">
        <v>5996720</v>
      </c>
      <c r="B106" t="s">
        <v>18</v>
      </c>
      <c r="C106" t="s">
        <v>692</v>
      </c>
      <c r="D106" s="1">
        <v>45291</v>
      </c>
      <c r="E106" s="1">
        <v>45291</v>
      </c>
      <c r="F106">
        <v>2010501</v>
      </c>
      <c r="G106" s="15" t="s">
        <v>99</v>
      </c>
      <c r="H106">
        <v>0</v>
      </c>
      <c r="I106" t="s">
        <v>21</v>
      </c>
    </row>
    <row r="107" spans="1:9" x14ac:dyDescent="0.25">
      <c r="A107">
        <v>5996721</v>
      </c>
      <c r="B107" t="s">
        <v>18</v>
      </c>
      <c r="C107" t="s">
        <v>692</v>
      </c>
      <c r="D107" s="1">
        <v>45291</v>
      </c>
      <c r="E107" s="1">
        <v>45291</v>
      </c>
      <c r="F107">
        <v>201050101</v>
      </c>
      <c r="G107" s="14" t="s">
        <v>100</v>
      </c>
      <c r="H107">
        <v>0</v>
      </c>
      <c r="I107" t="s">
        <v>21</v>
      </c>
    </row>
    <row r="108" spans="1:9" x14ac:dyDescent="0.25">
      <c r="A108">
        <v>5996722</v>
      </c>
      <c r="B108" t="s">
        <v>18</v>
      </c>
      <c r="C108" t="s">
        <v>692</v>
      </c>
      <c r="D108" s="1">
        <v>45291</v>
      </c>
      <c r="E108" s="1">
        <v>45291</v>
      </c>
      <c r="F108">
        <v>201050103</v>
      </c>
      <c r="G108" s="2" t="s">
        <v>101</v>
      </c>
      <c r="H108">
        <v>0</v>
      </c>
      <c r="I108" t="s">
        <v>21</v>
      </c>
    </row>
    <row r="109" spans="1:9" x14ac:dyDescent="0.25">
      <c r="A109">
        <v>5996723</v>
      </c>
      <c r="B109" t="s">
        <v>18</v>
      </c>
      <c r="C109" t="s">
        <v>692</v>
      </c>
      <c r="D109" s="1">
        <v>45291</v>
      </c>
      <c r="E109" s="1">
        <v>45291</v>
      </c>
      <c r="F109">
        <v>201050104</v>
      </c>
      <c r="G109" s="14" t="s">
        <v>102</v>
      </c>
      <c r="H109">
        <v>0</v>
      </c>
      <c r="I109" t="s">
        <v>21</v>
      </c>
    </row>
    <row r="110" spans="1:9" x14ac:dyDescent="0.25">
      <c r="A110">
        <v>5996724</v>
      </c>
      <c r="B110" t="s">
        <v>18</v>
      </c>
      <c r="C110" t="s">
        <v>692</v>
      </c>
      <c r="D110" s="1">
        <v>45291</v>
      </c>
      <c r="E110" s="1">
        <v>45291</v>
      </c>
      <c r="F110">
        <v>2010502</v>
      </c>
      <c r="G110" s="15" t="s">
        <v>44</v>
      </c>
      <c r="H110">
        <v>18151000</v>
      </c>
      <c r="I110" t="s">
        <v>21</v>
      </c>
    </row>
    <row r="111" spans="1:9" x14ac:dyDescent="0.25">
      <c r="A111">
        <v>5996725</v>
      </c>
      <c r="B111" t="s">
        <v>18</v>
      </c>
      <c r="C111" t="s">
        <v>692</v>
      </c>
      <c r="D111" s="1">
        <v>45291</v>
      </c>
      <c r="E111" s="1">
        <v>45291</v>
      </c>
      <c r="F111">
        <v>201050201</v>
      </c>
      <c r="G111" s="15" t="s">
        <v>103</v>
      </c>
      <c r="H111">
        <v>0</v>
      </c>
      <c r="I111" t="s">
        <v>21</v>
      </c>
    </row>
    <row r="112" spans="1:9" x14ac:dyDescent="0.25">
      <c r="A112">
        <v>5996726</v>
      </c>
      <c r="B112" t="s">
        <v>18</v>
      </c>
      <c r="C112" t="s">
        <v>692</v>
      </c>
      <c r="D112" s="1">
        <v>45291</v>
      </c>
      <c r="E112" s="1">
        <v>45291</v>
      </c>
      <c r="F112">
        <v>201050202</v>
      </c>
      <c r="G112" s="15" t="s">
        <v>104</v>
      </c>
      <c r="H112">
        <v>0</v>
      </c>
      <c r="I112" t="s">
        <v>21</v>
      </c>
    </row>
    <row r="113" spans="1:9" x14ac:dyDescent="0.25">
      <c r="A113">
        <v>5996727</v>
      </c>
      <c r="B113" t="s">
        <v>18</v>
      </c>
      <c r="C113" t="s">
        <v>692</v>
      </c>
      <c r="D113" s="1">
        <v>45291</v>
      </c>
      <c r="E113" s="1">
        <v>45291</v>
      </c>
      <c r="F113">
        <v>201050203</v>
      </c>
      <c r="G113" s="14" t="s">
        <v>105</v>
      </c>
      <c r="H113">
        <v>0</v>
      </c>
      <c r="I113" t="s">
        <v>21</v>
      </c>
    </row>
    <row r="114" spans="1:9" x14ac:dyDescent="0.25">
      <c r="A114">
        <v>5996728</v>
      </c>
      <c r="B114" t="s">
        <v>18</v>
      </c>
      <c r="C114" t="s">
        <v>692</v>
      </c>
      <c r="D114" s="1">
        <v>45291</v>
      </c>
      <c r="E114" s="1">
        <v>45291</v>
      </c>
      <c r="F114">
        <v>201050204</v>
      </c>
      <c r="G114" s="15" t="s">
        <v>98</v>
      </c>
      <c r="H114">
        <v>1341000</v>
      </c>
      <c r="I114" t="s">
        <v>21</v>
      </c>
    </row>
    <row r="115" spans="1:9" x14ac:dyDescent="0.25">
      <c r="A115">
        <v>5996729</v>
      </c>
      <c r="B115" t="s">
        <v>18</v>
      </c>
      <c r="C115" t="s">
        <v>692</v>
      </c>
      <c r="D115" s="1">
        <v>45291</v>
      </c>
      <c r="E115" s="1">
        <v>45291</v>
      </c>
      <c r="F115">
        <v>201050205</v>
      </c>
      <c r="G115" s="15" t="s">
        <v>106</v>
      </c>
      <c r="H115">
        <v>147000</v>
      </c>
      <c r="I115" t="s">
        <v>21</v>
      </c>
    </row>
    <row r="116" spans="1:9" x14ac:dyDescent="0.25">
      <c r="A116">
        <v>5996730</v>
      </c>
      <c r="B116" t="s">
        <v>18</v>
      </c>
      <c r="C116" t="s">
        <v>692</v>
      </c>
      <c r="D116" s="1">
        <v>45291</v>
      </c>
      <c r="E116" s="1">
        <v>45291</v>
      </c>
      <c r="F116">
        <v>201050206</v>
      </c>
      <c r="G116" s="15" t="s">
        <v>107</v>
      </c>
      <c r="H116">
        <v>303000</v>
      </c>
      <c r="I116" t="s">
        <v>21</v>
      </c>
    </row>
    <row r="117" spans="1:9" x14ac:dyDescent="0.25">
      <c r="A117">
        <v>5996731</v>
      </c>
      <c r="B117" t="s">
        <v>18</v>
      </c>
      <c r="C117" t="s">
        <v>692</v>
      </c>
      <c r="D117" s="1">
        <v>45291</v>
      </c>
      <c r="E117" s="1">
        <v>45291</v>
      </c>
      <c r="F117">
        <v>201050207</v>
      </c>
      <c r="G117" s="15" t="s">
        <v>108</v>
      </c>
      <c r="H117">
        <v>452000</v>
      </c>
      <c r="I117" t="s">
        <v>21</v>
      </c>
    </row>
    <row r="118" spans="1:9" x14ac:dyDescent="0.25">
      <c r="A118">
        <v>5996732</v>
      </c>
      <c r="B118" t="s">
        <v>18</v>
      </c>
      <c r="C118" t="s">
        <v>692</v>
      </c>
      <c r="D118" s="1">
        <v>45291</v>
      </c>
      <c r="E118" s="1">
        <v>45291</v>
      </c>
      <c r="F118">
        <v>201050208</v>
      </c>
      <c r="G118" s="15" t="s">
        <v>109</v>
      </c>
      <c r="H118">
        <v>0</v>
      </c>
      <c r="I118" t="s">
        <v>21</v>
      </c>
    </row>
    <row r="119" spans="1:9" x14ac:dyDescent="0.25">
      <c r="A119">
        <v>5996733</v>
      </c>
      <c r="B119" t="s">
        <v>18</v>
      </c>
      <c r="C119" t="s">
        <v>692</v>
      </c>
      <c r="D119" s="1">
        <v>45291</v>
      </c>
      <c r="E119" s="1">
        <v>45291</v>
      </c>
      <c r="F119">
        <v>201050209</v>
      </c>
      <c r="G119" s="15" t="s">
        <v>110</v>
      </c>
      <c r="H119">
        <v>15908000</v>
      </c>
      <c r="I119" t="s">
        <v>21</v>
      </c>
    </row>
    <row r="120" spans="1:9" x14ac:dyDescent="0.25">
      <c r="A120">
        <v>5996734</v>
      </c>
      <c r="B120" t="s">
        <v>18</v>
      </c>
      <c r="C120" t="s">
        <v>692</v>
      </c>
      <c r="D120" s="1">
        <v>45291</v>
      </c>
      <c r="E120" s="1">
        <v>45291</v>
      </c>
      <c r="F120">
        <v>201050210</v>
      </c>
      <c r="G120" s="15" t="s">
        <v>109</v>
      </c>
      <c r="H120">
        <v>0</v>
      </c>
      <c r="I120" t="s">
        <v>21</v>
      </c>
    </row>
    <row r="121" spans="1:9" x14ac:dyDescent="0.25">
      <c r="A121">
        <v>5996735</v>
      </c>
      <c r="B121" t="s">
        <v>18</v>
      </c>
      <c r="C121" t="s">
        <v>692</v>
      </c>
      <c r="D121" s="1">
        <v>45291</v>
      </c>
      <c r="E121" s="1">
        <v>45291</v>
      </c>
      <c r="F121">
        <v>20106</v>
      </c>
      <c r="G121" s="15" t="s">
        <v>111</v>
      </c>
      <c r="H121">
        <v>57000</v>
      </c>
      <c r="I121" t="s">
        <v>21</v>
      </c>
    </row>
    <row r="122" spans="1:9" x14ac:dyDescent="0.25">
      <c r="A122">
        <v>5996736</v>
      </c>
      <c r="B122" t="s">
        <v>18</v>
      </c>
      <c r="C122" t="s">
        <v>692</v>
      </c>
      <c r="D122" s="1">
        <v>45291</v>
      </c>
      <c r="E122" s="1">
        <v>45291</v>
      </c>
      <c r="F122">
        <v>2010601</v>
      </c>
      <c r="G122" s="15" t="s">
        <v>112</v>
      </c>
      <c r="H122">
        <v>57000</v>
      </c>
      <c r="I122" t="s">
        <v>21</v>
      </c>
    </row>
    <row r="123" spans="1:9" x14ac:dyDescent="0.25">
      <c r="A123">
        <v>5996737</v>
      </c>
      <c r="B123" t="s">
        <v>18</v>
      </c>
      <c r="C123" t="s">
        <v>692</v>
      </c>
      <c r="D123" s="1">
        <v>45291</v>
      </c>
      <c r="E123" s="1">
        <v>45291</v>
      </c>
      <c r="F123">
        <v>201060101</v>
      </c>
      <c r="G123" s="2" t="s">
        <v>113</v>
      </c>
      <c r="H123">
        <v>0</v>
      </c>
      <c r="I123" t="s">
        <v>21</v>
      </c>
    </row>
    <row r="124" spans="1:9" x14ac:dyDescent="0.25">
      <c r="A124">
        <v>5996738</v>
      </c>
      <c r="B124" t="s">
        <v>18</v>
      </c>
      <c r="C124" t="s">
        <v>692</v>
      </c>
      <c r="D124" s="1">
        <v>45291</v>
      </c>
      <c r="E124" s="1">
        <v>45291</v>
      </c>
      <c r="F124">
        <v>201060102</v>
      </c>
      <c r="G124" s="14" t="s">
        <v>114</v>
      </c>
      <c r="H124">
        <v>57000</v>
      </c>
      <c r="I124" t="s">
        <v>21</v>
      </c>
    </row>
    <row r="125" spans="1:9" x14ac:dyDescent="0.25">
      <c r="A125">
        <v>5996739</v>
      </c>
      <c r="B125" t="s">
        <v>18</v>
      </c>
      <c r="C125" t="s">
        <v>692</v>
      </c>
      <c r="D125" s="1">
        <v>45291</v>
      </c>
      <c r="E125" s="1">
        <v>45291</v>
      </c>
      <c r="F125">
        <v>201060103</v>
      </c>
      <c r="G125" s="15" t="s">
        <v>115</v>
      </c>
      <c r="H125">
        <v>0</v>
      </c>
      <c r="I125" t="s">
        <v>21</v>
      </c>
    </row>
    <row r="126" spans="1:9" x14ac:dyDescent="0.25">
      <c r="A126">
        <v>5996740</v>
      </c>
      <c r="B126" t="s">
        <v>18</v>
      </c>
      <c r="C126" t="s">
        <v>692</v>
      </c>
      <c r="D126" s="1">
        <v>45291</v>
      </c>
      <c r="E126" s="1">
        <v>45291</v>
      </c>
      <c r="F126">
        <v>201060104</v>
      </c>
      <c r="G126" s="15" t="s">
        <v>116</v>
      </c>
      <c r="H126">
        <v>0</v>
      </c>
      <c r="I126" t="s">
        <v>21</v>
      </c>
    </row>
    <row r="127" spans="1:9" x14ac:dyDescent="0.25">
      <c r="A127">
        <v>5996741</v>
      </c>
      <c r="B127" t="s">
        <v>18</v>
      </c>
      <c r="C127" t="s">
        <v>692</v>
      </c>
      <c r="D127" s="1">
        <v>45291</v>
      </c>
      <c r="E127" s="1">
        <v>45291</v>
      </c>
      <c r="F127">
        <v>201060105</v>
      </c>
      <c r="G127" s="15" t="s">
        <v>117</v>
      </c>
      <c r="H127">
        <v>0</v>
      </c>
      <c r="I127" t="s">
        <v>21</v>
      </c>
    </row>
    <row r="128" spans="1:9" x14ac:dyDescent="0.25">
      <c r="A128">
        <v>5996742</v>
      </c>
      <c r="B128" t="s">
        <v>18</v>
      </c>
      <c r="C128" t="s">
        <v>692</v>
      </c>
      <c r="D128" s="1">
        <v>45291</v>
      </c>
      <c r="E128" s="1">
        <v>45291</v>
      </c>
      <c r="F128">
        <v>2010602</v>
      </c>
      <c r="G128" s="15" t="s">
        <v>118</v>
      </c>
      <c r="H128">
        <v>0</v>
      </c>
      <c r="I128" t="s">
        <v>21</v>
      </c>
    </row>
    <row r="129" spans="1:9" x14ac:dyDescent="0.25">
      <c r="A129">
        <v>5996743</v>
      </c>
      <c r="B129" t="s">
        <v>18</v>
      </c>
      <c r="C129" t="s">
        <v>692</v>
      </c>
      <c r="D129" s="1">
        <v>45291</v>
      </c>
      <c r="E129" s="1">
        <v>45291</v>
      </c>
      <c r="F129">
        <v>201060201</v>
      </c>
      <c r="G129" s="15" t="s">
        <v>119</v>
      </c>
      <c r="H129">
        <v>0</v>
      </c>
      <c r="I129" t="s">
        <v>21</v>
      </c>
    </row>
    <row r="130" spans="1:9" x14ac:dyDescent="0.25">
      <c r="A130">
        <v>5996744</v>
      </c>
      <c r="B130" t="s">
        <v>18</v>
      </c>
      <c r="C130" t="s">
        <v>692</v>
      </c>
      <c r="D130" s="1">
        <v>45291</v>
      </c>
      <c r="E130" s="1">
        <v>45291</v>
      </c>
      <c r="F130">
        <v>201060202</v>
      </c>
      <c r="G130" s="14" t="s">
        <v>120</v>
      </c>
      <c r="H130">
        <v>0</v>
      </c>
      <c r="I130" t="s">
        <v>21</v>
      </c>
    </row>
    <row r="131" spans="1:9" x14ac:dyDescent="0.25">
      <c r="A131">
        <v>5996745</v>
      </c>
      <c r="B131" t="s">
        <v>18</v>
      </c>
      <c r="C131" t="s">
        <v>692</v>
      </c>
      <c r="D131" s="1">
        <v>45291</v>
      </c>
      <c r="E131" s="1">
        <v>45291</v>
      </c>
      <c r="F131">
        <v>201060203</v>
      </c>
      <c r="G131" s="15" t="s">
        <v>121</v>
      </c>
      <c r="H131">
        <v>0</v>
      </c>
      <c r="I131" t="s">
        <v>21</v>
      </c>
    </row>
    <row r="132" spans="1:9" x14ac:dyDescent="0.25">
      <c r="A132">
        <v>5996746</v>
      </c>
      <c r="B132" t="s">
        <v>18</v>
      </c>
      <c r="C132" t="s">
        <v>692</v>
      </c>
      <c r="D132" s="1">
        <v>45291</v>
      </c>
      <c r="E132" s="1">
        <v>45291</v>
      </c>
      <c r="F132">
        <v>20107</v>
      </c>
      <c r="G132" s="15" t="s">
        <v>122</v>
      </c>
      <c r="H132">
        <v>0</v>
      </c>
      <c r="I132" t="s">
        <v>21</v>
      </c>
    </row>
    <row r="133" spans="1:9" x14ac:dyDescent="0.25">
      <c r="A133">
        <v>5996747</v>
      </c>
      <c r="B133" t="s">
        <v>18</v>
      </c>
      <c r="C133" t="s">
        <v>692</v>
      </c>
      <c r="D133" s="1">
        <v>45291</v>
      </c>
      <c r="E133" s="1">
        <v>45291</v>
      </c>
      <c r="F133">
        <v>2010701</v>
      </c>
      <c r="G133" s="15" t="s">
        <v>123</v>
      </c>
      <c r="H133">
        <v>0</v>
      </c>
      <c r="I133" t="s">
        <v>21</v>
      </c>
    </row>
    <row r="134" spans="1:9" x14ac:dyDescent="0.25">
      <c r="A134">
        <v>5996748</v>
      </c>
      <c r="B134" t="s">
        <v>18</v>
      </c>
      <c r="C134" t="s">
        <v>692</v>
      </c>
      <c r="D134" s="1">
        <v>45291</v>
      </c>
      <c r="E134" s="1">
        <v>45291</v>
      </c>
      <c r="F134">
        <v>2010702</v>
      </c>
      <c r="G134" s="2" t="s">
        <v>124</v>
      </c>
      <c r="H134">
        <v>0</v>
      </c>
      <c r="I134" t="s">
        <v>21</v>
      </c>
    </row>
    <row r="135" spans="1:9" x14ac:dyDescent="0.25">
      <c r="A135">
        <v>5996749</v>
      </c>
      <c r="B135" t="s">
        <v>18</v>
      </c>
      <c r="C135" t="s">
        <v>692</v>
      </c>
      <c r="D135" s="1">
        <v>45291</v>
      </c>
      <c r="E135" s="1">
        <v>45291</v>
      </c>
      <c r="F135">
        <v>202</v>
      </c>
      <c r="G135" s="14" t="s">
        <v>125</v>
      </c>
      <c r="H135">
        <v>6690000</v>
      </c>
      <c r="I135" t="s">
        <v>21</v>
      </c>
    </row>
    <row r="136" spans="1:9" x14ac:dyDescent="0.25">
      <c r="A136">
        <v>5996750</v>
      </c>
      <c r="B136" t="s">
        <v>18</v>
      </c>
      <c r="C136" t="s">
        <v>692</v>
      </c>
      <c r="D136" s="1">
        <v>45291</v>
      </c>
      <c r="E136" s="1">
        <v>45291</v>
      </c>
      <c r="F136">
        <v>20201</v>
      </c>
      <c r="G136" s="14" t="s">
        <v>93</v>
      </c>
      <c r="H136">
        <v>0</v>
      </c>
      <c r="I136" t="s">
        <v>21</v>
      </c>
    </row>
    <row r="137" spans="1:9" x14ac:dyDescent="0.25">
      <c r="A137">
        <v>5996751</v>
      </c>
      <c r="B137" t="s">
        <v>18</v>
      </c>
      <c r="C137" t="s">
        <v>692</v>
      </c>
      <c r="D137" s="1">
        <v>45291</v>
      </c>
      <c r="E137" s="1">
        <v>45291</v>
      </c>
      <c r="F137">
        <v>2020101</v>
      </c>
      <c r="G137" s="13" t="s">
        <v>93</v>
      </c>
      <c r="H137">
        <v>0</v>
      </c>
      <c r="I137" t="s">
        <v>21</v>
      </c>
    </row>
    <row r="138" spans="1:9" x14ac:dyDescent="0.25">
      <c r="A138">
        <v>5996752</v>
      </c>
      <c r="B138" t="s">
        <v>18</v>
      </c>
      <c r="C138" t="s">
        <v>692</v>
      </c>
      <c r="D138" s="1">
        <v>45291</v>
      </c>
      <c r="E138" s="1">
        <v>45291</v>
      </c>
      <c r="F138">
        <v>202010101</v>
      </c>
      <c r="G138" s="2" t="s">
        <v>94</v>
      </c>
      <c r="H138">
        <v>0</v>
      </c>
      <c r="I138" t="s">
        <v>21</v>
      </c>
    </row>
    <row r="139" spans="1:9" x14ac:dyDescent="0.25">
      <c r="A139">
        <v>5996753</v>
      </c>
      <c r="B139" t="s">
        <v>18</v>
      </c>
      <c r="C139" t="s">
        <v>692</v>
      </c>
      <c r="D139" s="1">
        <v>45291</v>
      </c>
      <c r="E139" s="1">
        <v>45291</v>
      </c>
      <c r="F139">
        <v>202010102</v>
      </c>
      <c r="G139" s="14" t="s">
        <v>95</v>
      </c>
      <c r="H139">
        <v>0</v>
      </c>
      <c r="I139" t="s">
        <v>21</v>
      </c>
    </row>
    <row r="140" spans="1:9" x14ac:dyDescent="0.25">
      <c r="A140">
        <v>5996754</v>
      </c>
      <c r="B140" t="s">
        <v>18</v>
      </c>
      <c r="C140" t="s">
        <v>692</v>
      </c>
      <c r="D140" s="1">
        <v>45291</v>
      </c>
      <c r="E140" s="1">
        <v>45291</v>
      </c>
      <c r="F140">
        <v>2020102</v>
      </c>
      <c r="G140" s="15" t="s">
        <v>96</v>
      </c>
      <c r="H140">
        <v>0</v>
      </c>
      <c r="I140" t="s">
        <v>21</v>
      </c>
    </row>
    <row r="141" spans="1:9" x14ac:dyDescent="0.25">
      <c r="A141">
        <v>5996755</v>
      </c>
      <c r="B141" t="s">
        <v>18</v>
      </c>
      <c r="C141" t="s">
        <v>692</v>
      </c>
      <c r="D141" s="1">
        <v>45291</v>
      </c>
      <c r="E141" s="1">
        <v>45291</v>
      </c>
      <c r="F141">
        <v>202010201</v>
      </c>
      <c r="G141" s="15" t="s">
        <v>96</v>
      </c>
      <c r="H141">
        <v>0</v>
      </c>
      <c r="I141" t="s">
        <v>21</v>
      </c>
    </row>
    <row r="142" spans="1:9" x14ac:dyDescent="0.25">
      <c r="A142">
        <v>5996756</v>
      </c>
      <c r="B142" t="s">
        <v>18</v>
      </c>
      <c r="C142" t="s">
        <v>692</v>
      </c>
      <c r="D142" s="1">
        <v>45291</v>
      </c>
      <c r="E142" s="1">
        <v>45291</v>
      </c>
      <c r="F142">
        <v>2020103</v>
      </c>
      <c r="G142" s="14" t="s">
        <v>97</v>
      </c>
      <c r="H142">
        <v>0</v>
      </c>
      <c r="I142" t="s">
        <v>21</v>
      </c>
    </row>
    <row r="143" spans="1:9" x14ac:dyDescent="0.25">
      <c r="A143">
        <v>5996757</v>
      </c>
      <c r="B143" t="s">
        <v>18</v>
      </c>
      <c r="C143" t="s">
        <v>692</v>
      </c>
      <c r="D143" s="1">
        <v>45291</v>
      </c>
      <c r="E143" s="1">
        <v>45291</v>
      </c>
      <c r="F143">
        <v>20202</v>
      </c>
      <c r="G143" s="15" t="s">
        <v>98</v>
      </c>
      <c r="H143">
        <v>5024000</v>
      </c>
      <c r="I143" t="s">
        <v>21</v>
      </c>
    </row>
    <row r="144" spans="1:9" x14ac:dyDescent="0.25">
      <c r="A144">
        <v>5996758</v>
      </c>
      <c r="B144" t="s">
        <v>18</v>
      </c>
      <c r="C144" t="s">
        <v>692</v>
      </c>
      <c r="D144" s="1">
        <v>45291</v>
      </c>
      <c r="E144" s="1">
        <v>45291</v>
      </c>
      <c r="F144">
        <v>2020201</v>
      </c>
      <c r="G144" s="14" t="s">
        <v>99</v>
      </c>
      <c r="H144">
        <v>0</v>
      </c>
      <c r="I144" t="s">
        <v>21</v>
      </c>
    </row>
    <row r="145" spans="1:9" x14ac:dyDescent="0.25">
      <c r="A145">
        <v>5996759</v>
      </c>
      <c r="B145" t="s">
        <v>18</v>
      </c>
      <c r="C145" t="s">
        <v>692</v>
      </c>
      <c r="D145" s="1">
        <v>45291</v>
      </c>
      <c r="E145" s="1">
        <v>45291</v>
      </c>
      <c r="F145">
        <v>202020101</v>
      </c>
      <c r="G145" s="2" t="s">
        <v>100</v>
      </c>
      <c r="H145">
        <v>0</v>
      </c>
      <c r="I145" t="s">
        <v>21</v>
      </c>
    </row>
    <row r="146" spans="1:9" x14ac:dyDescent="0.25">
      <c r="A146">
        <v>5996760</v>
      </c>
      <c r="B146" t="s">
        <v>18</v>
      </c>
      <c r="C146" t="s">
        <v>692</v>
      </c>
      <c r="D146" s="1">
        <v>45291</v>
      </c>
      <c r="E146" s="1">
        <v>45291</v>
      </c>
      <c r="F146">
        <v>202020103</v>
      </c>
      <c r="G146" s="14" t="s">
        <v>101</v>
      </c>
      <c r="H146">
        <v>0</v>
      </c>
      <c r="I146" t="s">
        <v>21</v>
      </c>
    </row>
    <row r="147" spans="1:9" x14ac:dyDescent="0.25">
      <c r="A147">
        <v>5996761</v>
      </c>
      <c r="B147" t="s">
        <v>18</v>
      </c>
      <c r="C147" t="s">
        <v>692</v>
      </c>
      <c r="D147" s="1">
        <v>45291</v>
      </c>
      <c r="E147" s="1">
        <v>45291</v>
      </c>
      <c r="F147">
        <v>202020104</v>
      </c>
      <c r="G147" s="15" t="s">
        <v>102</v>
      </c>
      <c r="H147">
        <v>0</v>
      </c>
      <c r="I147" t="s">
        <v>21</v>
      </c>
    </row>
    <row r="148" spans="1:9" x14ac:dyDescent="0.25">
      <c r="A148">
        <v>5996762</v>
      </c>
      <c r="B148" t="s">
        <v>18</v>
      </c>
      <c r="C148" t="s">
        <v>692</v>
      </c>
      <c r="D148" s="1">
        <v>45291</v>
      </c>
      <c r="E148" s="1">
        <v>45291</v>
      </c>
      <c r="F148">
        <v>2020202</v>
      </c>
      <c r="G148" s="15" t="s">
        <v>44</v>
      </c>
      <c r="H148">
        <v>5024000</v>
      </c>
      <c r="I148" t="s">
        <v>21</v>
      </c>
    </row>
    <row r="149" spans="1:9" x14ac:dyDescent="0.25">
      <c r="A149">
        <v>5996763</v>
      </c>
      <c r="B149" t="s">
        <v>18</v>
      </c>
      <c r="C149" t="s">
        <v>692</v>
      </c>
      <c r="D149" s="1">
        <v>45291</v>
      </c>
      <c r="E149" s="1">
        <v>45291</v>
      </c>
      <c r="F149">
        <v>202020201</v>
      </c>
      <c r="G149" s="15" t="s">
        <v>105</v>
      </c>
      <c r="H149">
        <v>0</v>
      </c>
      <c r="I149" t="s">
        <v>21</v>
      </c>
    </row>
    <row r="150" spans="1:9" x14ac:dyDescent="0.25">
      <c r="A150">
        <v>5996764</v>
      </c>
      <c r="B150" t="s">
        <v>18</v>
      </c>
      <c r="C150" t="s">
        <v>692</v>
      </c>
      <c r="D150" s="1">
        <v>45291</v>
      </c>
      <c r="E150" s="1">
        <v>45291</v>
      </c>
      <c r="F150">
        <v>202020202</v>
      </c>
      <c r="G150" s="14" t="s">
        <v>126</v>
      </c>
      <c r="H150">
        <v>0</v>
      </c>
      <c r="I150" t="s">
        <v>21</v>
      </c>
    </row>
    <row r="151" spans="1:9" x14ac:dyDescent="0.25">
      <c r="A151">
        <v>5996765</v>
      </c>
      <c r="B151" t="s">
        <v>18</v>
      </c>
      <c r="C151" t="s">
        <v>692</v>
      </c>
      <c r="D151" s="1">
        <v>45291</v>
      </c>
      <c r="E151" s="1">
        <v>45291</v>
      </c>
      <c r="F151">
        <v>202020203</v>
      </c>
      <c r="G151" s="15" t="s">
        <v>98</v>
      </c>
      <c r="H151">
        <v>387000</v>
      </c>
      <c r="I151" t="s">
        <v>21</v>
      </c>
    </row>
    <row r="152" spans="1:9" x14ac:dyDescent="0.25">
      <c r="A152">
        <v>5996766</v>
      </c>
      <c r="B152" t="s">
        <v>18</v>
      </c>
      <c r="C152" t="s">
        <v>692</v>
      </c>
      <c r="D152" s="1">
        <v>45291</v>
      </c>
      <c r="E152" s="1">
        <v>45291</v>
      </c>
      <c r="F152">
        <v>202020204</v>
      </c>
      <c r="G152" s="15" t="s">
        <v>106</v>
      </c>
      <c r="H152">
        <v>0</v>
      </c>
      <c r="I152" t="s">
        <v>21</v>
      </c>
    </row>
    <row r="153" spans="1:9" x14ac:dyDescent="0.25">
      <c r="A153">
        <v>5996767</v>
      </c>
      <c r="B153" t="s">
        <v>18</v>
      </c>
      <c r="C153" t="s">
        <v>692</v>
      </c>
      <c r="D153" s="1">
        <v>45291</v>
      </c>
      <c r="E153" s="1">
        <v>45291</v>
      </c>
      <c r="F153">
        <v>202020205</v>
      </c>
      <c r="G153" s="15" t="s">
        <v>108</v>
      </c>
      <c r="H153">
        <v>4514000</v>
      </c>
      <c r="I153" t="s">
        <v>21</v>
      </c>
    </row>
    <row r="154" spans="1:9" x14ac:dyDescent="0.25">
      <c r="A154">
        <v>5996768</v>
      </c>
      <c r="B154" t="s">
        <v>18</v>
      </c>
      <c r="C154" t="s">
        <v>692</v>
      </c>
      <c r="D154" s="1">
        <v>45291</v>
      </c>
      <c r="E154" s="1">
        <v>45291</v>
      </c>
      <c r="F154">
        <v>202020206</v>
      </c>
      <c r="G154" s="15" t="s">
        <v>127</v>
      </c>
      <c r="H154">
        <v>0</v>
      </c>
      <c r="I154" t="s">
        <v>21</v>
      </c>
    </row>
    <row r="155" spans="1:9" x14ac:dyDescent="0.25">
      <c r="A155">
        <v>5996769</v>
      </c>
      <c r="B155" t="s">
        <v>18</v>
      </c>
      <c r="C155" t="s">
        <v>692</v>
      </c>
      <c r="D155" s="1">
        <v>45291</v>
      </c>
      <c r="E155" s="1">
        <v>45291</v>
      </c>
      <c r="F155">
        <v>202020207</v>
      </c>
      <c r="G155" s="15" t="s">
        <v>128</v>
      </c>
      <c r="H155">
        <v>120000</v>
      </c>
      <c r="I155" t="s">
        <v>21</v>
      </c>
    </row>
    <row r="156" spans="1:9" x14ac:dyDescent="0.25">
      <c r="A156">
        <v>5996770</v>
      </c>
      <c r="B156" t="s">
        <v>18</v>
      </c>
      <c r="C156" t="s">
        <v>692</v>
      </c>
      <c r="D156" s="1">
        <v>45291</v>
      </c>
      <c r="E156" s="1">
        <v>45291</v>
      </c>
      <c r="F156">
        <v>202020208</v>
      </c>
      <c r="G156" s="15" t="s">
        <v>129</v>
      </c>
      <c r="H156">
        <v>3000</v>
      </c>
      <c r="I156" t="s">
        <v>21</v>
      </c>
    </row>
    <row r="157" spans="1:9" x14ac:dyDescent="0.25">
      <c r="A157">
        <v>5996771</v>
      </c>
      <c r="B157" t="s">
        <v>18</v>
      </c>
      <c r="C157" t="s">
        <v>692</v>
      </c>
      <c r="D157" s="1">
        <v>45291</v>
      </c>
      <c r="E157" s="1">
        <v>45291</v>
      </c>
      <c r="F157">
        <v>20203</v>
      </c>
      <c r="G157" s="15" t="s">
        <v>51</v>
      </c>
      <c r="H157">
        <v>52000</v>
      </c>
      <c r="I157" t="s">
        <v>21</v>
      </c>
    </row>
    <row r="158" spans="1:9" x14ac:dyDescent="0.25">
      <c r="A158">
        <v>5996772</v>
      </c>
      <c r="B158" t="s">
        <v>18</v>
      </c>
      <c r="C158" t="s">
        <v>692</v>
      </c>
      <c r="D158" s="1">
        <v>45291</v>
      </c>
      <c r="E158" s="1">
        <v>45291</v>
      </c>
      <c r="F158">
        <v>2020301</v>
      </c>
      <c r="G158" s="15" t="s">
        <v>52</v>
      </c>
      <c r="H158">
        <v>52000</v>
      </c>
      <c r="I158" t="s">
        <v>21</v>
      </c>
    </row>
    <row r="159" spans="1:9" x14ac:dyDescent="0.25">
      <c r="A159">
        <v>5996773</v>
      </c>
      <c r="B159" t="s">
        <v>18</v>
      </c>
      <c r="C159" t="s">
        <v>692</v>
      </c>
      <c r="D159" s="1">
        <v>45291</v>
      </c>
      <c r="E159" s="1">
        <v>45291</v>
      </c>
      <c r="F159">
        <v>20204</v>
      </c>
      <c r="G159" s="15" t="s">
        <v>111</v>
      </c>
      <c r="H159">
        <v>1614000</v>
      </c>
      <c r="I159" t="s">
        <v>21</v>
      </c>
    </row>
    <row r="160" spans="1:9" x14ac:dyDescent="0.25">
      <c r="A160">
        <v>5996774</v>
      </c>
      <c r="B160" t="s">
        <v>18</v>
      </c>
      <c r="C160" t="s">
        <v>692</v>
      </c>
      <c r="D160" s="1">
        <v>45291</v>
      </c>
      <c r="E160" s="1">
        <v>45291</v>
      </c>
      <c r="F160">
        <v>2020401</v>
      </c>
      <c r="G160" s="2" t="s">
        <v>112</v>
      </c>
      <c r="H160">
        <v>1614000</v>
      </c>
      <c r="I160" t="s">
        <v>21</v>
      </c>
    </row>
    <row r="161" spans="1:9" x14ac:dyDescent="0.25">
      <c r="A161">
        <v>5996775</v>
      </c>
      <c r="B161" t="s">
        <v>18</v>
      </c>
      <c r="C161" t="s">
        <v>692</v>
      </c>
      <c r="D161" s="1">
        <v>45291</v>
      </c>
      <c r="E161" s="1">
        <v>45291</v>
      </c>
      <c r="F161">
        <v>202040101</v>
      </c>
      <c r="G161" s="14" t="s">
        <v>113</v>
      </c>
      <c r="H161">
        <v>1133000</v>
      </c>
      <c r="I161" t="s">
        <v>21</v>
      </c>
    </row>
    <row r="162" spans="1:9" x14ac:dyDescent="0.25">
      <c r="A162">
        <v>5996776</v>
      </c>
      <c r="B162" t="s">
        <v>18</v>
      </c>
      <c r="C162" t="s">
        <v>692</v>
      </c>
      <c r="D162" s="1">
        <v>45291</v>
      </c>
      <c r="E162" s="1">
        <v>45291</v>
      </c>
      <c r="F162">
        <v>202040102</v>
      </c>
      <c r="G162" s="2" t="s">
        <v>114</v>
      </c>
      <c r="H162">
        <v>209000</v>
      </c>
      <c r="I162" t="s">
        <v>21</v>
      </c>
    </row>
    <row r="163" spans="1:9" x14ac:dyDescent="0.25">
      <c r="A163">
        <v>5996777</v>
      </c>
      <c r="B163" t="s">
        <v>18</v>
      </c>
      <c r="C163" t="s">
        <v>692</v>
      </c>
      <c r="D163" s="1">
        <v>45291</v>
      </c>
      <c r="E163" s="1">
        <v>45291</v>
      </c>
      <c r="F163">
        <v>202040103</v>
      </c>
      <c r="G163" s="14" t="s">
        <v>115</v>
      </c>
      <c r="H163">
        <v>0</v>
      </c>
      <c r="I163" t="s">
        <v>21</v>
      </c>
    </row>
    <row r="164" spans="1:9" x14ac:dyDescent="0.25">
      <c r="A164">
        <v>5996778</v>
      </c>
      <c r="B164" t="s">
        <v>18</v>
      </c>
      <c r="C164" t="s">
        <v>692</v>
      </c>
      <c r="D164" s="1">
        <v>45291</v>
      </c>
      <c r="E164" s="1">
        <v>45291</v>
      </c>
      <c r="F164">
        <v>202040104</v>
      </c>
      <c r="G164" s="15" t="s">
        <v>116</v>
      </c>
      <c r="H164">
        <v>23000</v>
      </c>
      <c r="I164" t="s">
        <v>21</v>
      </c>
    </row>
    <row r="165" spans="1:9" x14ac:dyDescent="0.25">
      <c r="A165">
        <v>5996779</v>
      </c>
      <c r="B165" t="s">
        <v>18</v>
      </c>
      <c r="C165" t="s">
        <v>692</v>
      </c>
      <c r="D165" s="1">
        <v>45291</v>
      </c>
      <c r="E165" s="1">
        <v>45291</v>
      </c>
      <c r="F165">
        <v>202040105</v>
      </c>
      <c r="G165" s="15" t="s">
        <v>117</v>
      </c>
      <c r="H165">
        <v>249000</v>
      </c>
      <c r="I165" t="s">
        <v>21</v>
      </c>
    </row>
    <row r="166" spans="1:9" x14ac:dyDescent="0.25">
      <c r="A166">
        <v>5996780</v>
      </c>
      <c r="B166" t="s">
        <v>18</v>
      </c>
      <c r="C166" t="s">
        <v>692</v>
      </c>
      <c r="D166" s="1">
        <v>45291</v>
      </c>
      <c r="E166" s="1">
        <v>45291</v>
      </c>
      <c r="F166">
        <v>2020402</v>
      </c>
      <c r="G166" s="15" t="s">
        <v>118</v>
      </c>
      <c r="H166">
        <v>0</v>
      </c>
      <c r="I166" t="s">
        <v>21</v>
      </c>
    </row>
    <row r="167" spans="1:9" x14ac:dyDescent="0.25">
      <c r="A167">
        <v>5996781</v>
      </c>
      <c r="B167" t="s">
        <v>18</v>
      </c>
      <c r="C167" t="s">
        <v>692</v>
      </c>
      <c r="D167" s="1">
        <v>45291</v>
      </c>
      <c r="E167" s="1">
        <v>45291</v>
      </c>
      <c r="F167">
        <v>202040201</v>
      </c>
      <c r="G167" s="15" t="s">
        <v>119</v>
      </c>
      <c r="H167">
        <v>0</v>
      </c>
      <c r="I167" t="s">
        <v>21</v>
      </c>
    </row>
    <row r="168" spans="1:9" x14ac:dyDescent="0.25">
      <c r="A168">
        <v>5996782</v>
      </c>
      <c r="B168" t="s">
        <v>18</v>
      </c>
      <c r="C168" t="s">
        <v>692</v>
      </c>
      <c r="D168" s="1">
        <v>45291</v>
      </c>
      <c r="E168" s="1">
        <v>45291</v>
      </c>
      <c r="F168">
        <v>202040202</v>
      </c>
      <c r="G168" s="15" t="s">
        <v>120</v>
      </c>
      <c r="H168">
        <v>0</v>
      </c>
      <c r="I168" t="s">
        <v>21</v>
      </c>
    </row>
    <row r="169" spans="1:9" x14ac:dyDescent="0.25">
      <c r="A169">
        <v>5996783</v>
      </c>
      <c r="B169" t="s">
        <v>18</v>
      </c>
      <c r="C169" t="s">
        <v>692</v>
      </c>
      <c r="D169" s="1">
        <v>45291</v>
      </c>
      <c r="E169" s="1">
        <v>45291</v>
      </c>
      <c r="F169">
        <v>202040203</v>
      </c>
      <c r="G169" s="14" t="s">
        <v>121</v>
      </c>
      <c r="H169">
        <v>0</v>
      </c>
      <c r="I169" t="s">
        <v>21</v>
      </c>
    </row>
    <row r="170" spans="1:9" x14ac:dyDescent="0.25">
      <c r="A170">
        <v>5996784</v>
      </c>
      <c r="B170" t="s">
        <v>18</v>
      </c>
      <c r="C170" t="s">
        <v>692</v>
      </c>
      <c r="D170" s="1">
        <v>45291</v>
      </c>
      <c r="E170" s="1">
        <v>45291</v>
      </c>
      <c r="F170">
        <v>20205</v>
      </c>
      <c r="G170" s="15" t="s">
        <v>122</v>
      </c>
      <c r="H170">
        <v>0</v>
      </c>
      <c r="I170" t="s">
        <v>21</v>
      </c>
    </row>
    <row r="171" spans="1:9" x14ac:dyDescent="0.25">
      <c r="A171">
        <v>5996785</v>
      </c>
      <c r="B171" t="s">
        <v>18</v>
      </c>
      <c r="C171" t="s">
        <v>692</v>
      </c>
      <c r="D171" s="1">
        <v>45291</v>
      </c>
      <c r="E171" s="1">
        <v>45291</v>
      </c>
      <c r="F171">
        <v>2020501</v>
      </c>
      <c r="G171" s="15" t="s">
        <v>123</v>
      </c>
      <c r="H171">
        <v>0</v>
      </c>
      <c r="I171" t="s">
        <v>21</v>
      </c>
    </row>
    <row r="172" spans="1:9" x14ac:dyDescent="0.25">
      <c r="A172">
        <v>5996786</v>
      </c>
      <c r="B172" t="s">
        <v>18</v>
      </c>
      <c r="C172" t="s">
        <v>692</v>
      </c>
      <c r="D172" s="1">
        <v>45291</v>
      </c>
      <c r="E172" s="1">
        <v>45291</v>
      </c>
      <c r="F172">
        <v>2020502</v>
      </c>
      <c r="G172" s="15" t="s">
        <v>124</v>
      </c>
      <c r="H172">
        <v>0</v>
      </c>
      <c r="I172" t="s">
        <v>21</v>
      </c>
    </row>
    <row r="173" spans="1:9" x14ac:dyDescent="0.25">
      <c r="A173">
        <v>5996787</v>
      </c>
      <c r="B173" t="s">
        <v>18</v>
      </c>
      <c r="C173" t="s">
        <v>692</v>
      </c>
      <c r="D173" s="1">
        <v>45291</v>
      </c>
      <c r="E173" s="1">
        <v>45291</v>
      </c>
      <c r="F173">
        <v>20206</v>
      </c>
      <c r="G173" s="2" t="s">
        <v>130</v>
      </c>
      <c r="H173">
        <v>0</v>
      </c>
      <c r="I173" t="s">
        <v>21</v>
      </c>
    </row>
    <row r="174" spans="1:9" x14ac:dyDescent="0.25">
      <c r="A174">
        <v>5996788</v>
      </c>
      <c r="B174" t="s">
        <v>18</v>
      </c>
      <c r="C174" t="s">
        <v>692</v>
      </c>
      <c r="D174" s="1">
        <v>45291</v>
      </c>
      <c r="E174" s="1">
        <v>45291</v>
      </c>
      <c r="F174">
        <v>2020601</v>
      </c>
      <c r="G174" s="14" t="s">
        <v>131</v>
      </c>
      <c r="H174">
        <v>0</v>
      </c>
      <c r="I174" t="s">
        <v>21</v>
      </c>
    </row>
    <row r="175" spans="1:9" x14ac:dyDescent="0.25">
      <c r="A175">
        <v>5996789</v>
      </c>
      <c r="B175" t="s">
        <v>18</v>
      </c>
      <c r="C175" t="s">
        <v>692</v>
      </c>
      <c r="D175" s="1">
        <v>45291</v>
      </c>
      <c r="E175" s="1">
        <v>45291</v>
      </c>
      <c r="F175">
        <v>2020602</v>
      </c>
      <c r="G175" s="14" t="s">
        <v>132</v>
      </c>
      <c r="H175">
        <v>0</v>
      </c>
      <c r="I175" t="s">
        <v>21</v>
      </c>
    </row>
    <row r="176" spans="1:9" x14ac:dyDescent="0.25">
      <c r="A176">
        <v>5996790</v>
      </c>
      <c r="B176" t="s">
        <v>18</v>
      </c>
      <c r="C176" t="s">
        <v>692</v>
      </c>
      <c r="D176" s="1">
        <v>45291</v>
      </c>
      <c r="E176" s="1">
        <v>45291</v>
      </c>
      <c r="F176">
        <v>2020603</v>
      </c>
      <c r="G176" s="2" t="s">
        <v>133</v>
      </c>
      <c r="H176">
        <v>0</v>
      </c>
      <c r="I176" t="s">
        <v>21</v>
      </c>
    </row>
    <row r="177" spans="1:9" x14ac:dyDescent="0.25">
      <c r="A177">
        <v>5996791</v>
      </c>
      <c r="B177" t="s">
        <v>18</v>
      </c>
      <c r="C177" t="s">
        <v>692</v>
      </c>
      <c r="D177" s="1">
        <v>45291</v>
      </c>
      <c r="E177" s="1">
        <v>45291</v>
      </c>
      <c r="F177">
        <v>203</v>
      </c>
      <c r="G177" s="14" t="s">
        <v>134</v>
      </c>
      <c r="H177">
        <v>-28850000</v>
      </c>
      <c r="I177" t="s">
        <v>21</v>
      </c>
    </row>
    <row r="178" spans="1:9" x14ac:dyDescent="0.25">
      <c r="A178">
        <v>5996792</v>
      </c>
      <c r="B178" t="s">
        <v>18</v>
      </c>
      <c r="C178" t="s">
        <v>692</v>
      </c>
      <c r="D178" s="1">
        <v>45291</v>
      </c>
      <c r="E178" s="1">
        <v>45291</v>
      </c>
      <c r="F178">
        <v>20301</v>
      </c>
      <c r="G178" s="14" t="s">
        <v>135</v>
      </c>
      <c r="H178">
        <v>15430000</v>
      </c>
      <c r="I178" t="s">
        <v>21</v>
      </c>
    </row>
    <row r="179" spans="1:9" x14ac:dyDescent="0.25">
      <c r="A179">
        <v>5996793</v>
      </c>
      <c r="B179" t="s">
        <v>18</v>
      </c>
      <c r="C179" t="s">
        <v>692</v>
      </c>
      <c r="D179" s="1">
        <v>45291</v>
      </c>
      <c r="E179" s="1">
        <v>45291</v>
      </c>
      <c r="F179">
        <v>20302</v>
      </c>
      <c r="G179" s="14" t="s">
        <v>136</v>
      </c>
      <c r="H179">
        <v>116000</v>
      </c>
      <c r="I179" t="s">
        <v>21</v>
      </c>
    </row>
    <row r="180" spans="1:9" x14ac:dyDescent="0.25">
      <c r="A180">
        <v>5996794</v>
      </c>
      <c r="B180" t="s">
        <v>18</v>
      </c>
      <c r="C180" t="s">
        <v>692</v>
      </c>
      <c r="D180" s="1">
        <v>45291</v>
      </c>
      <c r="E180" s="1">
        <v>45291</v>
      </c>
      <c r="F180">
        <v>2030201</v>
      </c>
      <c r="G180" s="13" t="s">
        <v>137</v>
      </c>
      <c r="H180">
        <v>0</v>
      </c>
      <c r="I180" t="s">
        <v>21</v>
      </c>
    </row>
    <row r="181" spans="1:9" x14ac:dyDescent="0.25">
      <c r="A181">
        <v>5996795</v>
      </c>
      <c r="B181" t="s">
        <v>18</v>
      </c>
      <c r="C181" t="s">
        <v>692</v>
      </c>
      <c r="D181" s="1">
        <v>45291</v>
      </c>
      <c r="E181" s="1">
        <v>45291</v>
      </c>
      <c r="F181">
        <v>2030202</v>
      </c>
      <c r="G181" s="2" t="s">
        <v>138</v>
      </c>
      <c r="H181">
        <v>0</v>
      </c>
      <c r="I181" t="s">
        <v>21</v>
      </c>
    </row>
    <row r="182" spans="1:9" x14ac:dyDescent="0.25">
      <c r="A182">
        <v>5996796</v>
      </c>
      <c r="B182" t="s">
        <v>18</v>
      </c>
      <c r="C182" t="s">
        <v>692</v>
      </c>
      <c r="D182" s="1">
        <v>45291</v>
      </c>
      <c r="E182" s="1">
        <v>45291</v>
      </c>
      <c r="F182">
        <v>2030203</v>
      </c>
      <c r="G182" s="2" t="s">
        <v>139</v>
      </c>
      <c r="H182">
        <v>0</v>
      </c>
      <c r="I182" t="s">
        <v>21</v>
      </c>
    </row>
    <row r="183" spans="1:9" x14ac:dyDescent="0.25">
      <c r="A183">
        <v>5996797</v>
      </c>
      <c r="B183" t="s">
        <v>18</v>
      </c>
      <c r="C183" t="s">
        <v>692</v>
      </c>
      <c r="D183" s="1">
        <v>45291</v>
      </c>
      <c r="E183" s="1">
        <v>45291</v>
      </c>
      <c r="F183">
        <v>2030204</v>
      </c>
      <c r="G183" s="14" t="s">
        <v>140</v>
      </c>
      <c r="H183">
        <v>0</v>
      </c>
      <c r="I183" t="s">
        <v>21</v>
      </c>
    </row>
    <row r="184" spans="1:9" x14ac:dyDescent="0.25">
      <c r="A184">
        <v>5996798</v>
      </c>
      <c r="B184" t="s">
        <v>18</v>
      </c>
      <c r="C184" t="s">
        <v>692</v>
      </c>
      <c r="D184" s="1">
        <v>45291</v>
      </c>
      <c r="E184" s="1">
        <v>45291</v>
      </c>
      <c r="F184">
        <v>2030205</v>
      </c>
      <c r="G184" s="14" t="s">
        <v>141</v>
      </c>
      <c r="H184">
        <v>0</v>
      </c>
      <c r="I184" t="s">
        <v>21</v>
      </c>
    </row>
    <row r="185" spans="1:9" x14ac:dyDescent="0.25">
      <c r="A185">
        <v>5996799</v>
      </c>
      <c r="B185" t="s">
        <v>18</v>
      </c>
      <c r="C185" t="s">
        <v>692</v>
      </c>
      <c r="D185" s="1">
        <v>45291</v>
      </c>
      <c r="E185" s="1">
        <v>45291</v>
      </c>
      <c r="F185">
        <v>2030206</v>
      </c>
      <c r="G185" s="14" t="s">
        <v>126</v>
      </c>
      <c r="H185">
        <v>1000</v>
      </c>
      <c r="I185" t="s">
        <v>21</v>
      </c>
    </row>
    <row r="186" spans="1:9" x14ac:dyDescent="0.25">
      <c r="A186">
        <v>5996800</v>
      </c>
      <c r="B186" t="s">
        <v>18</v>
      </c>
      <c r="C186" t="s">
        <v>692</v>
      </c>
      <c r="D186" s="1">
        <v>45291</v>
      </c>
      <c r="E186" s="1">
        <v>45291</v>
      </c>
      <c r="F186">
        <v>2030207</v>
      </c>
      <c r="G186" s="14" t="s">
        <v>142</v>
      </c>
      <c r="H186">
        <v>0</v>
      </c>
      <c r="I186" t="s">
        <v>21</v>
      </c>
    </row>
    <row r="187" spans="1:9" x14ac:dyDescent="0.25">
      <c r="A187">
        <v>5996801</v>
      </c>
      <c r="B187" t="s">
        <v>18</v>
      </c>
      <c r="C187" t="s">
        <v>692</v>
      </c>
      <c r="D187" s="1">
        <v>45291</v>
      </c>
      <c r="E187" s="1">
        <v>45291</v>
      </c>
      <c r="F187">
        <v>2030208</v>
      </c>
      <c r="G187" s="14" t="s">
        <v>143</v>
      </c>
      <c r="H187">
        <v>115000</v>
      </c>
      <c r="I187" t="s">
        <v>21</v>
      </c>
    </row>
    <row r="188" spans="1:9" x14ac:dyDescent="0.25">
      <c r="A188">
        <v>5996802</v>
      </c>
      <c r="B188" t="s">
        <v>18</v>
      </c>
      <c r="C188" t="s">
        <v>692</v>
      </c>
      <c r="D188" s="1">
        <v>45291</v>
      </c>
      <c r="E188" s="1">
        <v>45291</v>
      </c>
      <c r="F188">
        <v>20303</v>
      </c>
      <c r="G188" s="14" t="s">
        <v>144</v>
      </c>
      <c r="H188">
        <v>0</v>
      </c>
      <c r="I188" t="s">
        <v>21</v>
      </c>
    </row>
    <row r="189" spans="1:9" x14ac:dyDescent="0.25">
      <c r="A189">
        <v>5996803</v>
      </c>
      <c r="B189" t="s">
        <v>18</v>
      </c>
      <c r="C189" t="s">
        <v>692</v>
      </c>
      <c r="D189" s="1">
        <v>45291</v>
      </c>
      <c r="E189" s="1">
        <v>45291</v>
      </c>
      <c r="F189">
        <v>20304</v>
      </c>
      <c r="G189" s="14" t="s">
        <v>145</v>
      </c>
      <c r="H189">
        <v>0</v>
      </c>
      <c r="I189" t="s">
        <v>21</v>
      </c>
    </row>
    <row r="190" spans="1:9" x14ac:dyDescent="0.25">
      <c r="A190">
        <v>5996804</v>
      </c>
      <c r="B190" t="s">
        <v>18</v>
      </c>
      <c r="C190" t="s">
        <v>692</v>
      </c>
      <c r="D190" s="1">
        <v>45291</v>
      </c>
      <c r="E190" s="1">
        <v>45291</v>
      </c>
      <c r="F190">
        <v>2030401</v>
      </c>
      <c r="G190" s="14" t="s">
        <v>146</v>
      </c>
      <c r="H190">
        <v>0</v>
      </c>
      <c r="I190" t="s">
        <v>21</v>
      </c>
    </row>
    <row r="191" spans="1:9" x14ac:dyDescent="0.25">
      <c r="A191">
        <v>5996805</v>
      </c>
      <c r="B191" t="s">
        <v>18</v>
      </c>
      <c r="C191" t="s">
        <v>692</v>
      </c>
      <c r="D191" s="1">
        <v>45291</v>
      </c>
      <c r="E191" s="1">
        <v>45291</v>
      </c>
      <c r="F191">
        <v>2030402</v>
      </c>
      <c r="G191" s="2" t="s">
        <v>147</v>
      </c>
      <c r="H191">
        <v>0</v>
      </c>
      <c r="I191" t="s">
        <v>21</v>
      </c>
    </row>
    <row r="192" spans="1:9" x14ac:dyDescent="0.25">
      <c r="A192">
        <v>5996806</v>
      </c>
      <c r="B192" t="s">
        <v>18</v>
      </c>
      <c r="C192" t="s">
        <v>692</v>
      </c>
      <c r="D192" s="1">
        <v>45291</v>
      </c>
      <c r="E192" s="1">
        <v>45291</v>
      </c>
      <c r="F192">
        <v>2030403</v>
      </c>
      <c r="G192" s="2" t="s">
        <v>148</v>
      </c>
      <c r="H192">
        <v>0</v>
      </c>
      <c r="I192" t="s">
        <v>21</v>
      </c>
    </row>
    <row r="193" spans="1:9" x14ac:dyDescent="0.25">
      <c r="A193">
        <v>5996807</v>
      </c>
      <c r="B193" t="s">
        <v>18</v>
      </c>
      <c r="C193" t="s">
        <v>692</v>
      </c>
      <c r="D193" s="1">
        <v>45291</v>
      </c>
      <c r="E193" s="1">
        <v>45291</v>
      </c>
      <c r="F193">
        <v>2030404</v>
      </c>
      <c r="G193" s="14" t="s">
        <v>149</v>
      </c>
      <c r="H193">
        <v>0</v>
      </c>
      <c r="I193" t="s">
        <v>21</v>
      </c>
    </row>
    <row r="194" spans="1:9" x14ac:dyDescent="0.25">
      <c r="A194">
        <v>5996808</v>
      </c>
      <c r="B194" t="s">
        <v>18</v>
      </c>
      <c r="C194" t="s">
        <v>692</v>
      </c>
      <c r="D194" s="1">
        <v>45291</v>
      </c>
      <c r="E194" s="1">
        <v>45291</v>
      </c>
      <c r="F194">
        <v>2030405</v>
      </c>
      <c r="G194" s="14" t="s">
        <v>150</v>
      </c>
      <c r="H194">
        <v>0</v>
      </c>
      <c r="I194" t="s">
        <v>21</v>
      </c>
    </row>
    <row r="195" spans="1:9" x14ac:dyDescent="0.25">
      <c r="A195">
        <v>5996809</v>
      </c>
      <c r="B195" t="s">
        <v>18</v>
      </c>
      <c r="C195" t="s">
        <v>692</v>
      </c>
      <c r="D195" s="1">
        <v>45291</v>
      </c>
      <c r="E195" s="1">
        <v>45291</v>
      </c>
      <c r="F195">
        <v>2030406</v>
      </c>
      <c r="G195" s="14" t="s">
        <v>151</v>
      </c>
      <c r="H195">
        <v>0</v>
      </c>
      <c r="I195" t="s">
        <v>21</v>
      </c>
    </row>
    <row r="196" spans="1:9" x14ac:dyDescent="0.25">
      <c r="A196">
        <v>5996810</v>
      </c>
      <c r="B196" t="s">
        <v>18</v>
      </c>
      <c r="C196" t="s">
        <v>692</v>
      </c>
      <c r="D196" s="1">
        <v>45291</v>
      </c>
      <c r="E196" s="1">
        <v>45291</v>
      </c>
      <c r="F196">
        <v>2030407</v>
      </c>
      <c r="G196" s="14" t="s">
        <v>152</v>
      </c>
      <c r="H196">
        <v>0</v>
      </c>
      <c r="I196" t="s">
        <v>21</v>
      </c>
    </row>
    <row r="197" spans="1:9" x14ac:dyDescent="0.25">
      <c r="A197">
        <v>5996811</v>
      </c>
      <c r="B197" t="s">
        <v>18</v>
      </c>
      <c r="C197" t="s">
        <v>692</v>
      </c>
      <c r="D197" s="1">
        <v>45291</v>
      </c>
      <c r="E197" s="1">
        <v>45291</v>
      </c>
      <c r="F197">
        <v>2030408</v>
      </c>
      <c r="G197" s="14" t="s">
        <v>153</v>
      </c>
      <c r="H197">
        <v>0</v>
      </c>
      <c r="I197" t="s">
        <v>21</v>
      </c>
    </row>
    <row r="198" spans="1:9" x14ac:dyDescent="0.25">
      <c r="A198">
        <v>5996812</v>
      </c>
      <c r="B198" t="s">
        <v>18</v>
      </c>
      <c r="C198" t="s">
        <v>692</v>
      </c>
      <c r="D198" s="1">
        <v>45291</v>
      </c>
      <c r="E198" s="1">
        <v>45291</v>
      </c>
      <c r="F198">
        <v>2030409</v>
      </c>
      <c r="G198" s="14" t="s">
        <v>141</v>
      </c>
      <c r="H198">
        <v>0</v>
      </c>
      <c r="I198" t="s">
        <v>21</v>
      </c>
    </row>
    <row r="199" spans="1:9" x14ac:dyDescent="0.25">
      <c r="A199">
        <v>5996813</v>
      </c>
      <c r="B199" t="s">
        <v>18</v>
      </c>
      <c r="C199" t="s">
        <v>692</v>
      </c>
      <c r="D199" s="1">
        <v>45291</v>
      </c>
      <c r="E199" s="1">
        <v>45291</v>
      </c>
      <c r="F199">
        <v>2030410</v>
      </c>
      <c r="G199" s="14" t="s">
        <v>154</v>
      </c>
      <c r="H199">
        <v>0</v>
      </c>
      <c r="I199" t="s">
        <v>21</v>
      </c>
    </row>
    <row r="200" spans="1:9" x14ac:dyDescent="0.25">
      <c r="A200">
        <v>5996814</v>
      </c>
      <c r="B200" t="s">
        <v>18</v>
      </c>
      <c r="C200" t="s">
        <v>692</v>
      </c>
      <c r="D200" s="1">
        <v>45291</v>
      </c>
      <c r="E200" s="1">
        <v>45291</v>
      </c>
      <c r="F200">
        <v>2030411</v>
      </c>
      <c r="G200" s="14" t="s">
        <v>155</v>
      </c>
      <c r="H200">
        <v>0</v>
      </c>
      <c r="I200" t="s">
        <v>21</v>
      </c>
    </row>
    <row r="201" spans="1:9" x14ac:dyDescent="0.25">
      <c r="A201">
        <v>5996815</v>
      </c>
      <c r="B201" t="s">
        <v>18</v>
      </c>
      <c r="C201" t="s">
        <v>692</v>
      </c>
      <c r="D201" s="1">
        <v>45291</v>
      </c>
      <c r="E201" s="1">
        <v>45291</v>
      </c>
      <c r="F201">
        <v>20305</v>
      </c>
      <c r="G201" s="14" t="s">
        <v>156</v>
      </c>
      <c r="H201">
        <v>-43136000</v>
      </c>
      <c r="I201" t="s">
        <v>21</v>
      </c>
    </row>
    <row r="202" spans="1:9" x14ac:dyDescent="0.25">
      <c r="A202">
        <v>5996816</v>
      </c>
      <c r="B202" t="s">
        <v>18</v>
      </c>
      <c r="C202" t="s">
        <v>692</v>
      </c>
      <c r="D202" s="1">
        <v>45291</v>
      </c>
      <c r="E202" s="1">
        <v>45291</v>
      </c>
      <c r="F202">
        <v>20306</v>
      </c>
      <c r="G202" s="14" t="s">
        <v>157</v>
      </c>
      <c r="H202">
        <v>0</v>
      </c>
      <c r="I202" t="s">
        <v>21</v>
      </c>
    </row>
    <row r="203" spans="1:9" x14ac:dyDescent="0.25">
      <c r="A203">
        <v>5996817</v>
      </c>
      <c r="B203" t="s">
        <v>18</v>
      </c>
      <c r="C203" t="s">
        <v>692</v>
      </c>
      <c r="D203" s="1">
        <v>45291</v>
      </c>
      <c r="E203" s="1">
        <v>45291</v>
      </c>
      <c r="F203">
        <v>20307</v>
      </c>
      <c r="G203" s="14" t="s">
        <v>158</v>
      </c>
      <c r="H203">
        <v>0</v>
      </c>
      <c r="I203" t="s">
        <v>21</v>
      </c>
    </row>
    <row r="204" spans="1:9" x14ac:dyDescent="0.25">
      <c r="A204">
        <v>5996818</v>
      </c>
      <c r="B204" t="s">
        <v>18</v>
      </c>
      <c r="C204" t="s">
        <v>692</v>
      </c>
      <c r="D204" s="1">
        <v>45291</v>
      </c>
      <c r="E204" s="1">
        <v>45291</v>
      </c>
      <c r="F204">
        <v>20308</v>
      </c>
      <c r="G204" s="2" t="s">
        <v>159</v>
      </c>
      <c r="H204">
        <v>-1260000</v>
      </c>
      <c r="I204" t="s">
        <v>21</v>
      </c>
    </row>
    <row r="205" spans="1:9" x14ac:dyDescent="0.25">
      <c r="A205">
        <v>5996819</v>
      </c>
      <c r="B205" t="s">
        <v>18</v>
      </c>
      <c r="C205" t="s">
        <v>692</v>
      </c>
      <c r="D205" s="1">
        <v>45291</v>
      </c>
      <c r="E205" s="1">
        <v>45291</v>
      </c>
      <c r="F205">
        <v>20309</v>
      </c>
      <c r="G205" s="2" t="s">
        <v>160</v>
      </c>
      <c r="H205">
        <v>0</v>
      </c>
      <c r="I205" t="s">
        <v>21</v>
      </c>
    </row>
    <row r="206" spans="1:9" x14ac:dyDescent="0.25">
      <c r="A206">
        <v>5996820</v>
      </c>
      <c r="B206" t="s">
        <v>18</v>
      </c>
      <c r="C206" t="s">
        <v>692</v>
      </c>
      <c r="D206" s="1">
        <v>44927</v>
      </c>
      <c r="E206" s="1">
        <v>45291</v>
      </c>
      <c r="F206">
        <v>301</v>
      </c>
      <c r="G206" s="2" t="s">
        <v>161</v>
      </c>
      <c r="H206">
        <v>14942000</v>
      </c>
      <c r="I206" t="s">
        <v>21</v>
      </c>
    </row>
    <row r="207" spans="1:9" x14ac:dyDescent="0.25">
      <c r="A207">
        <v>5996821</v>
      </c>
      <c r="B207" t="s">
        <v>18</v>
      </c>
      <c r="C207" t="s">
        <v>692</v>
      </c>
      <c r="D207" s="1">
        <v>44927</v>
      </c>
      <c r="E207" s="1">
        <v>45291</v>
      </c>
      <c r="F207">
        <v>302</v>
      </c>
      <c r="G207" s="2" t="s">
        <v>162</v>
      </c>
      <c r="H207">
        <v>-10586000</v>
      </c>
      <c r="I207" t="s">
        <v>21</v>
      </c>
    </row>
    <row r="208" spans="1:9" x14ac:dyDescent="0.25">
      <c r="A208">
        <v>5996822</v>
      </c>
      <c r="B208" t="s">
        <v>18</v>
      </c>
      <c r="C208" t="s">
        <v>692</v>
      </c>
      <c r="D208" s="1">
        <v>44927</v>
      </c>
      <c r="E208" s="1">
        <v>45291</v>
      </c>
      <c r="F208">
        <v>303</v>
      </c>
      <c r="G208" s="2" t="s">
        <v>163</v>
      </c>
      <c r="H208">
        <v>4356000</v>
      </c>
      <c r="I208" t="s">
        <v>21</v>
      </c>
    </row>
    <row r="209" spans="1:9" x14ac:dyDescent="0.25">
      <c r="A209">
        <v>5996823</v>
      </c>
      <c r="B209" t="s">
        <v>18</v>
      </c>
      <c r="C209" t="s">
        <v>692</v>
      </c>
      <c r="D209" s="1">
        <v>44927</v>
      </c>
      <c r="E209" s="1">
        <v>45291</v>
      </c>
      <c r="F209">
        <v>304</v>
      </c>
      <c r="G209" s="13" t="s">
        <v>164</v>
      </c>
      <c r="H209">
        <v>-8534000</v>
      </c>
      <c r="I209" t="s">
        <v>21</v>
      </c>
    </row>
    <row r="210" spans="1:9" x14ac:dyDescent="0.25">
      <c r="A210">
        <v>5996824</v>
      </c>
      <c r="B210" t="s">
        <v>18</v>
      </c>
      <c r="C210" t="s">
        <v>692</v>
      </c>
      <c r="D210" s="1">
        <v>44927</v>
      </c>
      <c r="E210" s="1">
        <v>45291</v>
      </c>
      <c r="F210">
        <v>30401</v>
      </c>
      <c r="G210" s="13" t="s">
        <v>165</v>
      </c>
      <c r="H210">
        <v>-4134000</v>
      </c>
      <c r="I210" t="s">
        <v>21</v>
      </c>
    </row>
    <row r="211" spans="1:9" x14ac:dyDescent="0.25">
      <c r="A211">
        <v>5996825</v>
      </c>
      <c r="B211" t="s">
        <v>18</v>
      </c>
      <c r="C211" t="s">
        <v>692</v>
      </c>
      <c r="D211" s="1">
        <v>44927</v>
      </c>
      <c r="E211" s="1">
        <v>45291</v>
      </c>
      <c r="F211">
        <v>30402</v>
      </c>
      <c r="G211" s="13" t="s">
        <v>166</v>
      </c>
      <c r="H211">
        <v>-3180000</v>
      </c>
      <c r="I211" t="s">
        <v>21</v>
      </c>
    </row>
    <row r="212" spans="1:9" x14ac:dyDescent="0.25">
      <c r="A212">
        <v>5996826</v>
      </c>
      <c r="B212" t="s">
        <v>18</v>
      </c>
      <c r="C212" t="s">
        <v>692</v>
      </c>
      <c r="D212" s="1">
        <v>44927</v>
      </c>
      <c r="E212" s="1">
        <v>45291</v>
      </c>
      <c r="F212">
        <v>30403</v>
      </c>
      <c r="G212" s="13" t="s">
        <v>167</v>
      </c>
      <c r="H212">
        <v>0</v>
      </c>
      <c r="I212" t="s">
        <v>21</v>
      </c>
    </row>
    <row r="213" spans="1:9" x14ac:dyDescent="0.25">
      <c r="A213">
        <v>5996827</v>
      </c>
      <c r="B213" t="s">
        <v>18</v>
      </c>
      <c r="C213" t="s">
        <v>692</v>
      </c>
      <c r="D213" s="1">
        <v>44927</v>
      </c>
      <c r="E213" s="1">
        <v>45291</v>
      </c>
      <c r="F213">
        <v>30404</v>
      </c>
      <c r="G213" s="2" t="s">
        <v>168</v>
      </c>
      <c r="H213">
        <v>0</v>
      </c>
      <c r="I213" t="s">
        <v>21</v>
      </c>
    </row>
    <row r="214" spans="1:9" x14ac:dyDescent="0.25">
      <c r="A214">
        <v>5996828</v>
      </c>
      <c r="B214" t="s">
        <v>18</v>
      </c>
      <c r="C214" t="s">
        <v>692</v>
      </c>
      <c r="D214" s="1">
        <v>44927</v>
      </c>
      <c r="E214" s="1">
        <v>45291</v>
      </c>
      <c r="F214">
        <v>30405</v>
      </c>
      <c r="G214" s="2" t="s">
        <v>169</v>
      </c>
      <c r="H214">
        <v>-1218000</v>
      </c>
      <c r="I214" t="s">
        <v>21</v>
      </c>
    </row>
    <row r="215" spans="1:9" x14ac:dyDescent="0.25">
      <c r="A215">
        <v>5996829</v>
      </c>
      <c r="B215" t="s">
        <v>18</v>
      </c>
      <c r="C215" t="s">
        <v>692</v>
      </c>
      <c r="D215" s="1">
        <v>44927</v>
      </c>
      <c r="E215" s="1">
        <v>45291</v>
      </c>
      <c r="F215">
        <v>3040502</v>
      </c>
      <c r="G215" s="2" t="s">
        <v>170</v>
      </c>
      <c r="H215">
        <v>0</v>
      </c>
      <c r="I215" t="s">
        <v>21</v>
      </c>
    </row>
    <row r="216" spans="1:9" x14ac:dyDescent="0.25">
      <c r="A216">
        <v>5996830</v>
      </c>
      <c r="B216" t="s">
        <v>18</v>
      </c>
      <c r="C216" t="s">
        <v>692</v>
      </c>
      <c r="D216" s="1">
        <v>44927</v>
      </c>
      <c r="E216" s="1">
        <v>45291</v>
      </c>
      <c r="F216">
        <v>3040503</v>
      </c>
      <c r="G216" s="2" t="s">
        <v>171</v>
      </c>
      <c r="H216">
        <v>-1218000</v>
      </c>
      <c r="I216" t="s">
        <v>21</v>
      </c>
    </row>
    <row r="217" spans="1:9" x14ac:dyDescent="0.25">
      <c r="A217">
        <v>5996831</v>
      </c>
      <c r="B217" t="s">
        <v>18</v>
      </c>
      <c r="C217" t="s">
        <v>692</v>
      </c>
      <c r="D217" s="1">
        <v>44927</v>
      </c>
      <c r="E217" s="1">
        <v>45291</v>
      </c>
      <c r="F217">
        <v>30406</v>
      </c>
      <c r="G217" s="2" t="s">
        <v>172</v>
      </c>
      <c r="H217">
        <v>-2000</v>
      </c>
      <c r="I217" t="s">
        <v>21</v>
      </c>
    </row>
    <row r="218" spans="1:9" x14ac:dyDescent="0.25">
      <c r="A218">
        <v>5996832</v>
      </c>
      <c r="B218" t="s">
        <v>18</v>
      </c>
      <c r="C218" t="s">
        <v>692</v>
      </c>
      <c r="D218" s="1">
        <v>44927</v>
      </c>
      <c r="E218" s="1">
        <v>45291</v>
      </c>
      <c r="F218">
        <v>305</v>
      </c>
      <c r="G218" s="14" t="s">
        <v>173</v>
      </c>
      <c r="H218">
        <v>-4178000</v>
      </c>
      <c r="I218" t="s">
        <v>21</v>
      </c>
    </row>
    <row r="219" spans="1:9" x14ac:dyDescent="0.25">
      <c r="A219">
        <v>5996833</v>
      </c>
      <c r="B219" t="s">
        <v>18</v>
      </c>
      <c r="C219" t="s">
        <v>692</v>
      </c>
      <c r="D219" s="1">
        <v>44927</v>
      </c>
      <c r="E219" s="1">
        <v>45291</v>
      </c>
      <c r="F219">
        <v>306</v>
      </c>
      <c r="G219" s="14" t="s">
        <v>174</v>
      </c>
      <c r="H219">
        <v>-2856000</v>
      </c>
      <c r="I219" t="s">
        <v>21</v>
      </c>
    </row>
    <row r="220" spans="1:9" x14ac:dyDescent="0.25">
      <c r="A220">
        <v>5996834</v>
      </c>
      <c r="B220" t="s">
        <v>18</v>
      </c>
      <c r="C220" t="s">
        <v>692</v>
      </c>
      <c r="D220" s="1">
        <v>44927</v>
      </c>
      <c r="E220" s="1">
        <v>45291</v>
      </c>
      <c r="F220">
        <v>30601</v>
      </c>
      <c r="G220" s="2" t="s">
        <v>175</v>
      </c>
      <c r="H220">
        <v>1384000</v>
      </c>
      <c r="I220" t="s">
        <v>21</v>
      </c>
    </row>
    <row r="221" spans="1:9" x14ac:dyDescent="0.25">
      <c r="A221">
        <v>5996835</v>
      </c>
      <c r="B221" t="s">
        <v>18</v>
      </c>
      <c r="C221" t="s">
        <v>692</v>
      </c>
      <c r="D221" s="1">
        <v>44927</v>
      </c>
      <c r="E221" s="1">
        <v>45291</v>
      </c>
      <c r="F221">
        <v>30602</v>
      </c>
      <c r="G221" s="13" t="s">
        <v>176</v>
      </c>
      <c r="H221">
        <v>-4240000</v>
      </c>
      <c r="I221" t="s">
        <v>21</v>
      </c>
    </row>
    <row r="222" spans="1:9" x14ac:dyDescent="0.25">
      <c r="A222">
        <v>5996836</v>
      </c>
      <c r="B222" t="s">
        <v>18</v>
      </c>
      <c r="C222" t="s">
        <v>692</v>
      </c>
      <c r="D222" s="1">
        <v>44927</v>
      </c>
      <c r="E222" s="1">
        <v>45291</v>
      </c>
      <c r="F222">
        <v>307</v>
      </c>
      <c r="G222" s="13" t="s">
        <v>177</v>
      </c>
      <c r="H222">
        <v>-7034000</v>
      </c>
      <c r="I222" t="s">
        <v>21</v>
      </c>
    </row>
    <row r="223" spans="1:9" x14ac:dyDescent="0.25">
      <c r="A223">
        <v>5996837</v>
      </c>
      <c r="B223" t="s">
        <v>18</v>
      </c>
      <c r="C223" t="s">
        <v>692</v>
      </c>
      <c r="D223" s="1">
        <v>44927</v>
      </c>
      <c r="E223" s="1">
        <v>45291</v>
      </c>
      <c r="F223">
        <v>308</v>
      </c>
      <c r="G223" s="2" t="s">
        <v>178</v>
      </c>
      <c r="H223">
        <v>4762000</v>
      </c>
      <c r="I223" t="s">
        <v>21</v>
      </c>
    </row>
    <row r="224" spans="1:9" x14ac:dyDescent="0.25">
      <c r="A224">
        <v>5996838</v>
      </c>
      <c r="B224" t="s">
        <v>18</v>
      </c>
      <c r="C224" t="s">
        <v>692</v>
      </c>
      <c r="D224" s="1">
        <v>44927</v>
      </c>
      <c r="E224" s="1">
        <v>45291</v>
      </c>
      <c r="F224">
        <v>30801</v>
      </c>
      <c r="G224" s="2" t="s">
        <v>179</v>
      </c>
      <c r="H224">
        <v>-32000</v>
      </c>
      <c r="I224" t="s">
        <v>21</v>
      </c>
    </row>
    <row r="225" spans="1:9" x14ac:dyDescent="0.25">
      <c r="A225">
        <v>5996839</v>
      </c>
      <c r="B225" t="s">
        <v>18</v>
      </c>
      <c r="C225" t="s">
        <v>692</v>
      </c>
      <c r="D225" s="1">
        <v>44927</v>
      </c>
      <c r="E225" s="1">
        <v>45291</v>
      </c>
      <c r="F225">
        <v>30802</v>
      </c>
      <c r="G225" s="13" t="s">
        <v>180</v>
      </c>
      <c r="H225">
        <v>4794000</v>
      </c>
      <c r="I225" t="s">
        <v>21</v>
      </c>
    </row>
    <row r="226" spans="1:9" x14ac:dyDescent="0.25">
      <c r="A226">
        <v>5996840</v>
      </c>
      <c r="B226" t="s">
        <v>18</v>
      </c>
      <c r="C226" t="s">
        <v>692</v>
      </c>
      <c r="D226" s="1">
        <v>44927</v>
      </c>
      <c r="E226" s="1">
        <v>45291</v>
      </c>
      <c r="F226">
        <v>309</v>
      </c>
      <c r="G226" s="13" t="s">
        <v>181</v>
      </c>
      <c r="H226">
        <v>-2272000</v>
      </c>
      <c r="I226" t="s">
        <v>21</v>
      </c>
    </row>
    <row r="227" spans="1:9" x14ac:dyDescent="0.25">
      <c r="A227">
        <v>5996841</v>
      </c>
      <c r="B227" t="s">
        <v>18</v>
      </c>
      <c r="C227" t="s">
        <v>692</v>
      </c>
      <c r="D227" s="1">
        <v>44927</v>
      </c>
      <c r="E227" s="1">
        <v>45291</v>
      </c>
      <c r="F227">
        <v>310</v>
      </c>
      <c r="G227" s="2" t="s">
        <v>182</v>
      </c>
      <c r="H227">
        <v>0</v>
      </c>
      <c r="I227" t="s">
        <v>21</v>
      </c>
    </row>
    <row r="228" spans="1:9" x14ac:dyDescent="0.25">
      <c r="A228">
        <v>5996842</v>
      </c>
      <c r="B228" t="s">
        <v>18</v>
      </c>
      <c r="C228" t="s">
        <v>692</v>
      </c>
      <c r="D228" s="1">
        <v>44927</v>
      </c>
      <c r="E228" s="1">
        <v>45291</v>
      </c>
      <c r="F228">
        <v>31001</v>
      </c>
      <c r="G228" s="2" t="s">
        <v>183</v>
      </c>
      <c r="H228">
        <v>0</v>
      </c>
      <c r="I228" t="s">
        <v>21</v>
      </c>
    </row>
    <row r="229" spans="1:9" x14ac:dyDescent="0.25">
      <c r="A229">
        <v>5996843</v>
      </c>
      <c r="B229" t="s">
        <v>18</v>
      </c>
      <c r="C229" t="s">
        <v>692</v>
      </c>
      <c r="D229" s="1">
        <v>44927</v>
      </c>
      <c r="E229" s="1">
        <v>45291</v>
      </c>
      <c r="F229">
        <v>31002</v>
      </c>
      <c r="G229" s="13" t="s">
        <v>184</v>
      </c>
      <c r="H229">
        <v>0</v>
      </c>
      <c r="I229" t="s">
        <v>21</v>
      </c>
    </row>
    <row r="230" spans="1:9" x14ac:dyDescent="0.25">
      <c r="A230">
        <v>5996844</v>
      </c>
      <c r="B230" t="s">
        <v>18</v>
      </c>
      <c r="C230" t="s">
        <v>692</v>
      </c>
      <c r="D230" s="1">
        <v>44927</v>
      </c>
      <c r="E230" s="1">
        <v>45291</v>
      </c>
      <c r="F230">
        <v>311</v>
      </c>
      <c r="G230" s="13" t="s">
        <v>185</v>
      </c>
      <c r="H230">
        <v>-2272000</v>
      </c>
      <c r="I230" t="s">
        <v>21</v>
      </c>
    </row>
    <row r="231" spans="1:9" x14ac:dyDescent="0.25">
      <c r="A231">
        <v>5996845</v>
      </c>
      <c r="B231" t="s">
        <v>18</v>
      </c>
      <c r="C231" t="s">
        <v>692</v>
      </c>
      <c r="D231" s="1">
        <v>44927</v>
      </c>
      <c r="E231" s="1">
        <v>45291</v>
      </c>
      <c r="F231">
        <v>31101</v>
      </c>
      <c r="G231" s="2" t="s">
        <v>186</v>
      </c>
      <c r="H231">
        <v>-2272000</v>
      </c>
      <c r="I231" t="s">
        <v>21</v>
      </c>
    </row>
    <row r="232" spans="1:9" x14ac:dyDescent="0.25">
      <c r="A232">
        <v>5996846</v>
      </c>
      <c r="B232" t="s">
        <v>18</v>
      </c>
      <c r="C232" t="s">
        <v>692</v>
      </c>
      <c r="D232" s="1">
        <v>44927</v>
      </c>
      <c r="E232" s="1">
        <v>45291</v>
      </c>
      <c r="F232">
        <v>31102</v>
      </c>
      <c r="G232" s="2" t="s">
        <v>187</v>
      </c>
      <c r="H232">
        <v>0</v>
      </c>
      <c r="I232" t="s">
        <v>21</v>
      </c>
    </row>
    <row r="233" spans="1:9" x14ac:dyDescent="0.25">
      <c r="A233">
        <v>5996847</v>
      </c>
      <c r="B233" t="s">
        <v>18</v>
      </c>
      <c r="C233" t="s">
        <v>692</v>
      </c>
      <c r="D233" s="1">
        <v>44927</v>
      </c>
      <c r="E233" s="1">
        <v>45291</v>
      </c>
      <c r="F233">
        <v>399</v>
      </c>
      <c r="G233" s="13" t="s">
        <v>188</v>
      </c>
      <c r="H233">
        <v>0</v>
      </c>
      <c r="I233" t="s">
        <v>21</v>
      </c>
    </row>
    <row r="234" spans="1:9" x14ac:dyDescent="0.25">
      <c r="A234">
        <v>5996848</v>
      </c>
      <c r="B234" t="s">
        <v>18</v>
      </c>
      <c r="C234" t="s">
        <v>692</v>
      </c>
      <c r="D234" s="1">
        <v>44927</v>
      </c>
      <c r="E234" s="1">
        <v>45291</v>
      </c>
      <c r="F234">
        <v>39901</v>
      </c>
      <c r="G234" s="2" t="s">
        <v>189</v>
      </c>
      <c r="H234">
        <v>0</v>
      </c>
      <c r="I234" t="s">
        <v>21</v>
      </c>
    </row>
    <row r="235" spans="1:9" x14ac:dyDescent="0.25">
      <c r="A235">
        <v>5996849</v>
      </c>
      <c r="B235" t="s">
        <v>18</v>
      </c>
      <c r="C235" t="s">
        <v>692</v>
      </c>
      <c r="D235" s="1">
        <v>44927</v>
      </c>
      <c r="E235" s="1">
        <v>45291</v>
      </c>
      <c r="F235">
        <v>3990101</v>
      </c>
      <c r="G235" s="2" t="s">
        <v>190</v>
      </c>
      <c r="H235">
        <v>-2</v>
      </c>
      <c r="I235" t="s">
        <v>21</v>
      </c>
    </row>
    <row r="236" spans="1:9" x14ac:dyDescent="0.25">
      <c r="A236">
        <v>5996850</v>
      </c>
      <c r="B236" t="s">
        <v>18</v>
      </c>
      <c r="C236" t="s">
        <v>692</v>
      </c>
      <c r="D236" s="1">
        <v>44927</v>
      </c>
      <c r="E236" s="1">
        <v>45291</v>
      </c>
      <c r="F236">
        <v>39902</v>
      </c>
      <c r="G236" s="13" t="s">
        <v>191</v>
      </c>
      <c r="H236">
        <v>0</v>
      </c>
      <c r="I236" t="s">
        <v>21</v>
      </c>
    </row>
    <row r="237" spans="1:9" x14ac:dyDescent="0.25">
      <c r="A237">
        <v>5996851</v>
      </c>
      <c r="B237" t="s">
        <v>18</v>
      </c>
      <c r="C237" t="s">
        <v>692</v>
      </c>
      <c r="D237" s="1">
        <v>44927</v>
      </c>
      <c r="E237" s="1">
        <v>45291</v>
      </c>
      <c r="F237">
        <v>3990201</v>
      </c>
      <c r="G237" s="2" t="s">
        <v>190</v>
      </c>
      <c r="H237">
        <v>0</v>
      </c>
      <c r="I237" t="s">
        <v>21</v>
      </c>
    </row>
    <row r="238" spans="1:9" x14ac:dyDescent="0.25">
      <c r="A238">
        <v>5996852</v>
      </c>
      <c r="B238" t="s">
        <v>18</v>
      </c>
      <c r="C238" t="s">
        <v>692</v>
      </c>
      <c r="D238" s="1">
        <v>44927</v>
      </c>
      <c r="E238" s="1">
        <v>45291</v>
      </c>
      <c r="F238">
        <v>601</v>
      </c>
      <c r="G238" s="14" t="s">
        <v>192</v>
      </c>
      <c r="H238">
        <v>-245000</v>
      </c>
      <c r="I238" t="s">
        <v>21</v>
      </c>
    </row>
    <row r="239" spans="1:9" x14ac:dyDescent="0.25">
      <c r="A239">
        <v>5996853</v>
      </c>
      <c r="B239" t="s">
        <v>18</v>
      </c>
      <c r="C239" t="s">
        <v>692</v>
      </c>
      <c r="D239" s="1">
        <v>44927</v>
      </c>
      <c r="E239" s="1">
        <v>45291</v>
      </c>
      <c r="F239">
        <v>60101</v>
      </c>
      <c r="G239" s="2" t="s">
        <v>193</v>
      </c>
      <c r="H239">
        <v>-2388000</v>
      </c>
      <c r="I239" t="s">
        <v>21</v>
      </c>
    </row>
    <row r="240" spans="1:9" x14ac:dyDescent="0.25">
      <c r="A240">
        <v>5996854</v>
      </c>
      <c r="B240" t="s">
        <v>18</v>
      </c>
      <c r="C240" t="s">
        <v>692</v>
      </c>
      <c r="D240" s="1">
        <v>44927</v>
      </c>
      <c r="E240" s="1">
        <v>45291</v>
      </c>
      <c r="F240">
        <v>6010101</v>
      </c>
      <c r="G240" s="14" t="s">
        <v>628</v>
      </c>
      <c r="H240">
        <v>-2272000</v>
      </c>
      <c r="I240" t="s">
        <v>21</v>
      </c>
    </row>
    <row r="241" spans="1:9" x14ac:dyDescent="0.25">
      <c r="A241">
        <v>5996855</v>
      </c>
      <c r="B241" t="s">
        <v>18</v>
      </c>
      <c r="C241" t="s">
        <v>692</v>
      </c>
      <c r="D241" s="1">
        <v>44927</v>
      </c>
      <c r="E241" s="1">
        <v>45291</v>
      </c>
      <c r="F241">
        <v>6010102</v>
      </c>
      <c r="G241" s="13" t="s">
        <v>694</v>
      </c>
      <c r="H241">
        <v>0</v>
      </c>
      <c r="I241" t="s">
        <v>21</v>
      </c>
    </row>
    <row r="242" spans="1:9" x14ac:dyDescent="0.25">
      <c r="A242">
        <v>5996856</v>
      </c>
      <c r="B242" t="s">
        <v>18</v>
      </c>
      <c r="C242" t="s">
        <v>692</v>
      </c>
      <c r="D242" s="1">
        <v>44927</v>
      </c>
      <c r="E242" s="1">
        <v>45291</v>
      </c>
      <c r="F242">
        <v>6010103</v>
      </c>
      <c r="G242" s="2" t="s">
        <v>629</v>
      </c>
      <c r="H242">
        <v>1374000</v>
      </c>
      <c r="I242" t="s">
        <v>21</v>
      </c>
    </row>
    <row r="243" spans="1:9" x14ac:dyDescent="0.25">
      <c r="A243">
        <v>5996857</v>
      </c>
      <c r="B243" t="s">
        <v>18</v>
      </c>
      <c r="C243" t="s">
        <v>692</v>
      </c>
      <c r="D243" s="1">
        <v>44927</v>
      </c>
      <c r="E243" s="1">
        <v>45291</v>
      </c>
      <c r="F243">
        <v>6010104</v>
      </c>
      <c r="G243" s="14" t="s">
        <v>630</v>
      </c>
      <c r="H243">
        <v>-4762000</v>
      </c>
      <c r="I243" t="s">
        <v>21</v>
      </c>
    </row>
    <row r="244" spans="1:9" x14ac:dyDescent="0.25">
      <c r="A244">
        <v>5996858</v>
      </c>
      <c r="B244" t="s">
        <v>18</v>
      </c>
      <c r="C244" t="s">
        <v>692</v>
      </c>
      <c r="D244" s="1">
        <v>44927</v>
      </c>
      <c r="E244" s="1">
        <v>45291</v>
      </c>
      <c r="F244">
        <v>6010105</v>
      </c>
      <c r="G244" s="14" t="s">
        <v>695</v>
      </c>
      <c r="H244">
        <v>3354000</v>
      </c>
      <c r="I244" t="s">
        <v>21</v>
      </c>
    </row>
    <row r="245" spans="1:9" x14ac:dyDescent="0.25">
      <c r="A245">
        <v>5996859</v>
      </c>
      <c r="B245" t="s">
        <v>18</v>
      </c>
      <c r="C245" t="s">
        <v>692</v>
      </c>
      <c r="D245" s="1">
        <v>44927</v>
      </c>
      <c r="E245" s="1">
        <v>45291</v>
      </c>
      <c r="F245">
        <v>6010106</v>
      </c>
      <c r="G245" s="14" t="s">
        <v>696</v>
      </c>
      <c r="H245">
        <v>-518000</v>
      </c>
      <c r="I245" t="s">
        <v>21</v>
      </c>
    </row>
    <row r="246" spans="1:9" x14ac:dyDescent="0.25">
      <c r="A246">
        <v>5996860</v>
      </c>
      <c r="B246" t="s">
        <v>18</v>
      </c>
      <c r="C246" t="s">
        <v>692</v>
      </c>
      <c r="D246" s="1">
        <v>44927</v>
      </c>
      <c r="E246" s="1">
        <v>45291</v>
      </c>
      <c r="F246">
        <v>6010107</v>
      </c>
      <c r="G246" s="14" t="s">
        <v>44</v>
      </c>
      <c r="H246">
        <v>619000</v>
      </c>
      <c r="I246" t="s">
        <v>21</v>
      </c>
    </row>
    <row r="247" spans="1:9" x14ac:dyDescent="0.25">
      <c r="A247">
        <v>5996861</v>
      </c>
      <c r="B247" t="s">
        <v>18</v>
      </c>
      <c r="C247" t="s">
        <v>692</v>
      </c>
      <c r="D247" s="1">
        <v>44927</v>
      </c>
      <c r="E247" s="1">
        <v>45291</v>
      </c>
      <c r="F247">
        <v>6010108</v>
      </c>
      <c r="G247" s="14" t="s">
        <v>199</v>
      </c>
      <c r="H247">
        <v>2000</v>
      </c>
      <c r="I247" t="s">
        <v>21</v>
      </c>
    </row>
    <row r="248" spans="1:9" x14ac:dyDescent="0.25">
      <c r="A248">
        <v>5996862</v>
      </c>
      <c r="B248" t="s">
        <v>18</v>
      </c>
      <c r="C248" t="s">
        <v>692</v>
      </c>
      <c r="D248" s="1">
        <v>44927</v>
      </c>
      <c r="E248" s="1">
        <v>45291</v>
      </c>
      <c r="F248">
        <v>6010109</v>
      </c>
      <c r="G248" s="14" t="s">
        <v>633</v>
      </c>
      <c r="H248">
        <v>418000</v>
      </c>
      <c r="I248" t="s">
        <v>21</v>
      </c>
    </row>
    <row r="249" spans="1:9" x14ac:dyDescent="0.25">
      <c r="A249">
        <v>5996863</v>
      </c>
      <c r="B249" t="s">
        <v>18</v>
      </c>
      <c r="C249" t="s">
        <v>692</v>
      </c>
      <c r="D249" s="1">
        <v>44927</v>
      </c>
      <c r="E249" s="1">
        <v>45291</v>
      </c>
      <c r="F249">
        <v>6010110</v>
      </c>
      <c r="G249" s="14" t="s">
        <v>201</v>
      </c>
      <c r="H249">
        <v>-603000</v>
      </c>
      <c r="I249" t="s">
        <v>21</v>
      </c>
    </row>
    <row r="250" spans="1:9" x14ac:dyDescent="0.25">
      <c r="A250">
        <v>5996864</v>
      </c>
      <c r="B250" t="s">
        <v>18</v>
      </c>
      <c r="C250" t="s">
        <v>692</v>
      </c>
      <c r="D250" s="1">
        <v>44927</v>
      </c>
      <c r="E250" s="1">
        <v>45291</v>
      </c>
      <c r="F250">
        <v>60102</v>
      </c>
      <c r="G250" s="14" t="s">
        <v>205</v>
      </c>
      <c r="H250">
        <v>2143000</v>
      </c>
      <c r="I250" t="s">
        <v>21</v>
      </c>
    </row>
    <row r="251" spans="1:9" x14ac:dyDescent="0.25">
      <c r="A251">
        <v>5996865</v>
      </c>
      <c r="B251" t="s">
        <v>18</v>
      </c>
      <c r="C251" t="s">
        <v>692</v>
      </c>
      <c r="D251" s="1">
        <v>44927</v>
      </c>
      <c r="E251" s="1">
        <v>45291</v>
      </c>
      <c r="F251">
        <v>6010201</v>
      </c>
      <c r="G251" s="14" t="s">
        <v>636</v>
      </c>
      <c r="H251">
        <v>3054000</v>
      </c>
      <c r="I251" t="s">
        <v>21</v>
      </c>
    </row>
    <row r="252" spans="1:9" x14ac:dyDescent="0.25">
      <c r="A252">
        <v>5996866</v>
      </c>
      <c r="B252" t="s">
        <v>18</v>
      </c>
      <c r="C252" t="s">
        <v>692</v>
      </c>
      <c r="D252" s="1">
        <v>44927</v>
      </c>
      <c r="E252" s="1">
        <v>45291</v>
      </c>
      <c r="F252">
        <v>6010202</v>
      </c>
      <c r="G252" s="14" t="s">
        <v>34</v>
      </c>
      <c r="H252">
        <v>2035000</v>
      </c>
      <c r="I252" t="s">
        <v>21</v>
      </c>
    </row>
    <row r="253" spans="1:9" x14ac:dyDescent="0.25">
      <c r="A253">
        <v>5996867</v>
      </c>
      <c r="B253" t="s">
        <v>18</v>
      </c>
      <c r="C253" t="s">
        <v>692</v>
      </c>
      <c r="D253" s="1">
        <v>44927</v>
      </c>
      <c r="E253" s="1">
        <v>45291</v>
      </c>
      <c r="F253">
        <v>6010203</v>
      </c>
      <c r="G253" s="14" t="s">
        <v>49</v>
      </c>
      <c r="H253">
        <v>543000</v>
      </c>
      <c r="I253" t="s">
        <v>21</v>
      </c>
    </row>
    <row r="254" spans="1:9" x14ac:dyDescent="0.25">
      <c r="A254">
        <v>5996868</v>
      </c>
      <c r="B254" t="s">
        <v>18</v>
      </c>
      <c r="C254" t="s">
        <v>692</v>
      </c>
      <c r="D254" s="1">
        <v>44927</v>
      </c>
      <c r="E254" s="1">
        <v>45291</v>
      </c>
      <c r="F254">
        <v>6010204</v>
      </c>
      <c r="G254" s="14" t="s">
        <v>208</v>
      </c>
      <c r="H254">
        <v>-14000</v>
      </c>
      <c r="I254" t="s">
        <v>21</v>
      </c>
    </row>
    <row r="255" spans="1:9" x14ac:dyDescent="0.25">
      <c r="A255">
        <v>5996869</v>
      </c>
      <c r="B255" t="s">
        <v>18</v>
      </c>
      <c r="C255" t="s">
        <v>692</v>
      </c>
      <c r="D255" s="1">
        <v>44927</v>
      </c>
      <c r="E255" s="1">
        <v>45291</v>
      </c>
      <c r="F255">
        <v>6010205</v>
      </c>
      <c r="G255" s="2" t="s">
        <v>48</v>
      </c>
      <c r="H255">
        <v>-80000</v>
      </c>
      <c r="I255" t="s">
        <v>21</v>
      </c>
    </row>
    <row r="256" spans="1:9" x14ac:dyDescent="0.25">
      <c r="A256">
        <v>5996870</v>
      </c>
      <c r="B256" t="s">
        <v>18</v>
      </c>
      <c r="C256" t="s">
        <v>692</v>
      </c>
      <c r="D256" s="1">
        <v>44927</v>
      </c>
      <c r="E256" s="1">
        <v>45291</v>
      </c>
      <c r="F256">
        <v>6010206</v>
      </c>
      <c r="G256" s="14" t="s">
        <v>637</v>
      </c>
      <c r="H256">
        <v>-565000</v>
      </c>
      <c r="I256" t="s">
        <v>21</v>
      </c>
    </row>
    <row r="257" spans="1:9" x14ac:dyDescent="0.25">
      <c r="A257">
        <v>5996871</v>
      </c>
      <c r="B257" t="s">
        <v>18</v>
      </c>
      <c r="C257" t="s">
        <v>692</v>
      </c>
      <c r="D257" s="1">
        <v>44927</v>
      </c>
      <c r="E257" s="1">
        <v>45291</v>
      </c>
      <c r="F257">
        <v>6010207</v>
      </c>
      <c r="G257" s="14" t="s">
        <v>78</v>
      </c>
      <c r="H257">
        <v>-882000</v>
      </c>
      <c r="I257" t="s">
        <v>21</v>
      </c>
    </row>
    <row r="258" spans="1:9" x14ac:dyDescent="0.25">
      <c r="A258">
        <v>5996872</v>
      </c>
      <c r="B258" t="s">
        <v>18</v>
      </c>
      <c r="C258" t="s">
        <v>692</v>
      </c>
      <c r="D258" s="1">
        <v>44927</v>
      </c>
      <c r="E258" s="1">
        <v>45291</v>
      </c>
      <c r="F258">
        <v>6010208</v>
      </c>
      <c r="G258" s="14" t="s">
        <v>638</v>
      </c>
      <c r="H258">
        <v>11000</v>
      </c>
      <c r="I258" t="s">
        <v>21</v>
      </c>
    </row>
    <row r="259" spans="1:9" x14ac:dyDescent="0.25">
      <c r="A259">
        <v>5996873</v>
      </c>
      <c r="B259" t="s">
        <v>18</v>
      </c>
      <c r="C259" t="s">
        <v>692</v>
      </c>
      <c r="D259" s="1">
        <v>44927</v>
      </c>
      <c r="E259" s="1">
        <v>45291</v>
      </c>
      <c r="F259">
        <v>6010209</v>
      </c>
      <c r="G259" s="14" t="s">
        <v>639</v>
      </c>
      <c r="H259">
        <v>178000</v>
      </c>
      <c r="I259" t="s">
        <v>21</v>
      </c>
    </row>
    <row r="260" spans="1:9" x14ac:dyDescent="0.25">
      <c r="A260">
        <v>5996874</v>
      </c>
      <c r="B260" t="s">
        <v>18</v>
      </c>
      <c r="C260" t="s">
        <v>692</v>
      </c>
      <c r="D260" s="1">
        <v>44927</v>
      </c>
      <c r="E260" s="1">
        <v>45291</v>
      </c>
      <c r="F260">
        <v>6010210</v>
      </c>
      <c r="G260" s="14" t="s">
        <v>640</v>
      </c>
      <c r="H260">
        <v>0</v>
      </c>
      <c r="I260" t="s">
        <v>21</v>
      </c>
    </row>
    <row r="261" spans="1:9" x14ac:dyDescent="0.25">
      <c r="A261">
        <v>5996875</v>
      </c>
      <c r="B261" t="s">
        <v>18</v>
      </c>
      <c r="C261" t="s">
        <v>692</v>
      </c>
      <c r="D261" s="1">
        <v>44927</v>
      </c>
      <c r="E261" s="1">
        <v>45291</v>
      </c>
      <c r="F261">
        <v>6010211</v>
      </c>
      <c r="G261" s="14" t="s">
        <v>641</v>
      </c>
      <c r="H261">
        <v>-1237000</v>
      </c>
      <c r="I261" t="s">
        <v>21</v>
      </c>
    </row>
    <row r="262" spans="1:9" x14ac:dyDescent="0.25">
      <c r="A262">
        <v>5996876</v>
      </c>
      <c r="B262" t="s">
        <v>18</v>
      </c>
      <c r="C262" t="s">
        <v>692</v>
      </c>
      <c r="D262" s="1">
        <v>44927</v>
      </c>
      <c r="E262" s="1">
        <v>45291</v>
      </c>
      <c r="F262">
        <v>6010212</v>
      </c>
      <c r="G262" s="14" t="s">
        <v>642</v>
      </c>
      <c r="H262">
        <v>-2000</v>
      </c>
      <c r="I262" t="s">
        <v>21</v>
      </c>
    </row>
    <row r="263" spans="1:9" x14ac:dyDescent="0.25">
      <c r="A263">
        <v>5996877</v>
      </c>
      <c r="B263" t="s">
        <v>18</v>
      </c>
      <c r="C263" t="s">
        <v>692</v>
      </c>
      <c r="D263" s="1">
        <v>44927</v>
      </c>
      <c r="E263" s="1">
        <v>45291</v>
      </c>
      <c r="F263">
        <v>6010213</v>
      </c>
      <c r="G263" s="14" t="s">
        <v>643</v>
      </c>
      <c r="H263">
        <v>-146000</v>
      </c>
      <c r="I263" t="s">
        <v>21</v>
      </c>
    </row>
    <row r="264" spans="1:9" x14ac:dyDescent="0.25">
      <c r="A264">
        <v>5996878</v>
      </c>
      <c r="B264" t="s">
        <v>18</v>
      </c>
      <c r="C264" t="s">
        <v>692</v>
      </c>
      <c r="D264" s="1">
        <v>44927</v>
      </c>
      <c r="E264" s="1">
        <v>45291</v>
      </c>
      <c r="F264">
        <v>6010214</v>
      </c>
      <c r="G264" s="14" t="s">
        <v>644</v>
      </c>
      <c r="H264">
        <v>-634000</v>
      </c>
      <c r="I264" t="s">
        <v>21</v>
      </c>
    </row>
    <row r="265" spans="1:9" x14ac:dyDescent="0.25">
      <c r="A265">
        <v>5996879</v>
      </c>
      <c r="B265" t="s">
        <v>18</v>
      </c>
      <c r="C265" t="s">
        <v>692</v>
      </c>
      <c r="D265" s="1">
        <v>44927</v>
      </c>
      <c r="E265" s="1">
        <v>45291</v>
      </c>
      <c r="F265">
        <v>6010215</v>
      </c>
      <c r="G265" s="14" t="s">
        <v>214</v>
      </c>
      <c r="H265">
        <v>-118000</v>
      </c>
      <c r="I265" t="s">
        <v>21</v>
      </c>
    </row>
    <row r="266" spans="1:9" x14ac:dyDescent="0.25">
      <c r="A266">
        <v>5996880</v>
      </c>
      <c r="B266" t="s">
        <v>18</v>
      </c>
      <c r="C266" t="s">
        <v>692</v>
      </c>
      <c r="D266" s="1">
        <v>44927</v>
      </c>
      <c r="E266" s="1">
        <v>45291</v>
      </c>
      <c r="F266">
        <v>6010216</v>
      </c>
      <c r="G266" s="14" t="s">
        <v>217</v>
      </c>
      <c r="H266">
        <v>0</v>
      </c>
      <c r="I266" t="s">
        <v>21</v>
      </c>
    </row>
    <row r="267" spans="1:9" x14ac:dyDescent="0.25">
      <c r="A267">
        <v>5996881</v>
      </c>
      <c r="B267" t="s">
        <v>18</v>
      </c>
      <c r="C267" t="s">
        <v>692</v>
      </c>
      <c r="D267" s="1">
        <v>44927</v>
      </c>
      <c r="E267" s="1">
        <v>45291</v>
      </c>
      <c r="F267">
        <v>6010217</v>
      </c>
      <c r="G267" s="14" t="s">
        <v>110</v>
      </c>
      <c r="H267">
        <v>0</v>
      </c>
      <c r="I267" t="s">
        <v>21</v>
      </c>
    </row>
    <row r="268" spans="1:9" x14ac:dyDescent="0.25">
      <c r="A268">
        <v>5996882</v>
      </c>
      <c r="B268" t="s">
        <v>18</v>
      </c>
      <c r="C268" t="s">
        <v>692</v>
      </c>
      <c r="D268" s="1">
        <v>44927</v>
      </c>
      <c r="E268" s="1">
        <v>45291</v>
      </c>
      <c r="F268">
        <v>60103</v>
      </c>
      <c r="G268" s="14" t="s">
        <v>44</v>
      </c>
      <c r="H268">
        <v>0</v>
      </c>
      <c r="I268" t="s">
        <v>21</v>
      </c>
    </row>
    <row r="269" spans="1:9" x14ac:dyDescent="0.25">
      <c r="A269">
        <v>5996883</v>
      </c>
      <c r="B269" t="s">
        <v>18</v>
      </c>
      <c r="C269" t="s">
        <v>692</v>
      </c>
      <c r="D269" s="1">
        <v>44927</v>
      </c>
      <c r="E269" s="1">
        <v>45291</v>
      </c>
      <c r="F269">
        <v>602</v>
      </c>
      <c r="G269" s="14" t="s">
        <v>219</v>
      </c>
      <c r="H269">
        <v>981000</v>
      </c>
      <c r="I269" t="s">
        <v>21</v>
      </c>
    </row>
    <row r="270" spans="1:9" x14ac:dyDescent="0.25">
      <c r="A270">
        <v>5996884</v>
      </c>
      <c r="B270" t="s">
        <v>18</v>
      </c>
      <c r="C270" t="s">
        <v>692</v>
      </c>
      <c r="D270" s="1">
        <v>44927</v>
      </c>
      <c r="E270" s="1">
        <v>45291</v>
      </c>
      <c r="F270">
        <v>60201</v>
      </c>
      <c r="G270" s="14" t="s">
        <v>27</v>
      </c>
      <c r="H270">
        <v>1395000</v>
      </c>
      <c r="I270" t="s">
        <v>21</v>
      </c>
    </row>
    <row r="271" spans="1:9" x14ac:dyDescent="0.25">
      <c r="A271">
        <v>5996885</v>
      </c>
      <c r="B271" t="s">
        <v>18</v>
      </c>
      <c r="C271" t="s">
        <v>692</v>
      </c>
      <c r="D271" s="1">
        <v>44927</v>
      </c>
      <c r="E271" s="1">
        <v>45291</v>
      </c>
      <c r="F271">
        <v>60202</v>
      </c>
      <c r="G271" s="14" t="s">
        <v>646</v>
      </c>
      <c r="H271">
        <v>0</v>
      </c>
      <c r="I271" t="s">
        <v>21</v>
      </c>
    </row>
    <row r="272" spans="1:9" x14ac:dyDescent="0.25">
      <c r="A272">
        <v>5996886</v>
      </c>
      <c r="B272" t="s">
        <v>18</v>
      </c>
      <c r="C272" t="s">
        <v>692</v>
      </c>
      <c r="D272" s="1">
        <v>44927</v>
      </c>
      <c r="E272" s="1">
        <v>45291</v>
      </c>
      <c r="F272">
        <v>60203</v>
      </c>
      <c r="G272" s="14" t="s">
        <v>64</v>
      </c>
      <c r="H272">
        <v>-329000</v>
      </c>
      <c r="I272" t="s">
        <v>21</v>
      </c>
    </row>
    <row r="273" spans="1:9" x14ac:dyDescent="0.25">
      <c r="A273">
        <v>5996887</v>
      </c>
      <c r="B273" t="s">
        <v>18</v>
      </c>
      <c r="C273" t="s">
        <v>692</v>
      </c>
      <c r="D273" s="1">
        <v>44927</v>
      </c>
      <c r="E273" s="1">
        <v>45291</v>
      </c>
      <c r="F273">
        <v>60204</v>
      </c>
      <c r="G273" s="2" t="s">
        <v>69</v>
      </c>
      <c r="H273">
        <v>-85000</v>
      </c>
      <c r="I273" t="s">
        <v>21</v>
      </c>
    </row>
    <row r="274" spans="1:9" x14ac:dyDescent="0.25">
      <c r="A274">
        <v>5996888</v>
      </c>
      <c r="B274" t="s">
        <v>18</v>
      </c>
      <c r="C274" t="s">
        <v>692</v>
      </c>
      <c r="D274" s="1">
        <v>44927</v>
      </c>
      <c r="E274" s="1">
        <v>45291</v>
      </c>
      <c r="F274">
        <v>60205</v>
      </c>
      <c r="G274" s="13" t="s">
        <v>224</v>
      </c>
      <c r="H274">
        <v>0</v>
      </c>
      <c r="I274" t="s">
        <v>21</v>
      </c>
    </row>
    <row r="275" spans="1:9" x14ac:dyDescent="0.25">
      <c r="A275">
        <v>5996889</v>
      </c>
      <c r="B275" t="s">
        <v>18</v>
      </c>
      <c r="C275" t="s">
        <v>692</v>
      </c>
      <c r="D275" s="1">
        <v>44927</v>
      </c>
      <c r="E275" s="1">
        <v>45291</v>
      </c>
      <c r="F275">
        <v>60206</v>
      </c>
      <c r="G275" s="2" t="s">
        <v>225</v>
      </c>
      <c r="H275">
        <v>0</v>
      </c>
      <c r="I275" t="s">
        <v>21</v>
      </c>
    </row>
    <row r="276" spans="1:9" x14ac:dyDescent="0.25">
      <c r="A276">
        <v>5996890</v>
      </c>
      <c r="B276" t="s">
        <v>18</v>
      </c>
      <c r="C276" t="s">
        <v>692</v>
      </c>
      <c r="D276" s="1">
        <v>44927</v>
      </c>
      <c r="E276" s="1">
        <v>45291</v>
      </c>
      <c r="F276">
        <v>60207</v>
      </c>
      <c r="G276" s="2" t="s">
        <v>648</v>
      </c>
      <c r="H276">
        <v>0</v>
      </c>
      <c r="I276" t="s">
        <v>21</v>
      </c>
    </row>
    <row r="277" spans="1:9" x14ac:dyDescent="0.25">
      <c r="A277">
        <v>5996891</v>
      </c>
      <c r="B277" t="s">
        <v>18</v>
      </c>
      <c r="C277" t="s">
        <v>692</v>
      </c>
      <c r="D277" s="1">
        <v>44927</v>
      </c>
      <c r="E277" s="1">
        <v>45291</v>
      </c>
      <c r="F277">
        <v>60208</v>
      </c>
      <c r="G277" s="2" t="s">
        <v>649</v>
      </c>
      <c r="H277">
        <v>0</v>
      </c>
      <c r="I277" t="s">
        <v>21</v>
      </c>
    </row>
    <row r="278" spans="1:9" x14ac:dyDescent="0.25">
      <c r="A278">
        <v>5996892</v>
      </c>
      <c r="B278" t="s">
        <v>18</v>
      </c>
      <c r="C278" t="s">
        <v>692</v>
      </c>
      <c r="D278" s="1">
        <v>44927</v>
      </c>
      <c r="E278" s="1">
        <v>45291</v>
      </c>
      <c r="F278">
        <v>60209</v>
      </c>
      <c r="G278" s="2" t="s">
        <v>226</v>
      </c>
      <c r="H278">
        <v>0</v>
      </c>
      <c r="I278" t="s">
        <v>21</v>
      </c>
    </row>
    <row r="279" spans="1:9" x14ac:dyDescent="0.25">
      <c r="A279">
        <v>5996893</v>
      </c>
      <c r="B279" t="s">
        <v>18</v>
      </c>
      <c r="C279" t="s">
        <v>692</v>
      </c>
      <c r="D279" s="1">
        <v>44927</v>
      </c>
      <c r="E279" s="1">
        <v>45291</v>
      </c>
      <c r="F279">
        <v>60210</v>
      </c>
      <c r="G279" s="2" t="s">
        <v>235</v>
      </c>
      <c r="H279">
        <v>0</v>
      </c>
      <c r="I279" t="s">
        <v>21</v>
      </c>
    </row>
    <row r="280" spans="1:9" x14ac:dyDescent="0.25">
      <c r="A280">
        <v>5996894</v>
      </c>
      <c r="B280" t="s">
        <v>18</v>
      </c>
      <c r="C280" t="s">
        <v>692</v>
      </c>
      <c r="D280" s="1">
        <v>44927</v>
      </c>
      <c r="E280" s="1">
        <v>45291</v>
      </c>
      <c r="F280">
        <v>603</v>
      </c>
      <c r="G280" s="2" t="s">
        <v>229</v>
      </c>
      <c r="H280">
        <v>-1457000</v>
      </c>
      <c r="I280" t="s">
        <v>21</v>
      </c>
    </row>
    <row r="281" spans="1:9" x14ac:dyDescent="0.25">
      <c r="A281">
        <v>5996895</v>
      </c>
      <c r="B281" t="s">
        <v>18</v>
      </c>
      <c r="C281" t="s">
        <v>692</v>
      </c>
      <c r="D281" s="1">
        <v>44927</v>
      </c>
      <c r="E281" s="1">
        <v>45291</v>
      </c>
      <c r="F281">
        <v>60301</v>
      </c>
      <c r="G281" s="2" t="s">
        <v>651</v>
      </c>
      <c r="H281">
        <v>1803000</v>
      </c>
      <c r="I281" t="s">
        <v>21</v>
      </c>
    </row>
    <row r="282" spans="1:9" x14ac:dyDescent="0.25">
      <c r="A282">
        <v>5996896</v>
      </c>
      <c r="B282" t="s">
        <v>18</v>
      </c>
      <c r="C282" t="s">
        <v>692</v>
      </c>
      <c r="D282" s="1">
        <v>44927</v>
      </c>
      <c r="E282" s="1">
        <v>45291</v>
      </c>
      <c r="F282">
        <v>60302</v>
      </c>
      <c r="G282" s="2" t="s">
        <v>697</v>
      </c>
      <c r="H282">
        <v>-2814000</v>
      </c>
      <c r="I282" t="s">
        <v>21</v>
      </c>
    </row>
    <row r="283" spans="1:9" x14ac:dyDescent="0.25">
      <c r="A283">
        <v>5996897</v>
      </c>
      <c r="B283" t="s">
        <v>18</v>
      </c>
      <c r="C283" t="s">
        <v>692</v>
      </c>
      <c r="D283" s="1">
        <v>44927</v>
      </c>
      <c r="E283" s="1">
        <v>45291</v>
      </c>
      <c r="F283">
        <v>60303</v>
      </c>
      <c r="G283" s="2" t="s">
        <v>653</v>
      </c>
      <c r="H283">
        <v>0</v>
      </c>
      <c r="I283" t="s">
        <v>21</v>
      </c>
    </row>
    <row r="284" spans="1:9" x14ac:dyDescent="0.25">
      <c r="A284">
        <v>5996898</v>
      </c>
      <c r="B284" t="s">
        <v>18</v>
      </c>
      <c r="C284" t="s">
        <v>692</v>
      </c>
      <c r="D284" s="1">
        <v>44927</v>
      </c>
      <c r="E284" s="1">
        <v>45291</v>
      </c>
      <c r="F284">
        <v>60304</v>
      </c>
      <c r="G284" s="2" t="s">
        <v>654</v>
      </c>
      <c r="H284">
        <v>0</v>
      </c>
      <c r="I284" t="s">
        <v>21</v>
      </c>
    </row>
    <row r="285" spans="1:9" x14ac:dyDescent="0.25">
      <c r="A285">
        <v>5996899</v>
      </c>
      <c r="B285" t="s">
        <v>18</v>
      </c>
      <c r="C285" t="s">
        <v>692</v>
      </c>
      <c r="D285" s="1">
        <v>44927</v>
      </c>
      <c r="E285" s="1">
        <v>45291</v>
      </c>
      <c r="F285">
        <v>60305</v>
      </c>
      <c r="G285" s="13" t="s">
        <v>232</v>
      </c>
      <c r="H285">
        <v>-444000</v>
      </c>
      <c r="I285" t="s">
        <v>21</v>
      </c>
    </row>
    <row r="286" spans="1:9" x14ac:dyDescent="0.25">
      <c r="A286">
        <v>5996900</v>
      </c>
      <c r="B286" t="s">
        <v>18</v>
      </c>
      <c r="C286" t="s">
        <v>692</v>
      </c>
      <c r="D286" s="1">
        <v>44927</v>
      </c>
      <c r="E286" s="1">
        <v>45291</v>
      </c>
      <c r="F286">
        <v>60306</v>
      </c>
      <c r="G286" s="2" t="s">
        <v>234</v>
      </c>
      <c r="H286">
        <v>0</v>
      </c>
      <c r="I286" t="s">
        <v>21</v>
      </c>
    </row>
    <row r="287" spans="1:9" x14ac:dyDescent="0.25">
      <c r="A287">
        <v>5996901</v>
      </c>
      <c r="B287" t="s">
        <v>18</v>
      </c>
      <c r="C287" t="s">
        <v>692</v>
      </c>
      <c r="D287" s="1">
        <v>44927</v>
      </c>
      <c r="E287" s="1">
        <v>45291</v>
      </c>
      <c r="F287">
        <v>60307</v>
      </c>
      <c r="G287" s="2" t="s">
        <v>235</v>
      </c>
      <c r="H287">
        <v>0</v>
      </c>
      <c r="I287" t="s">
        <v>21</v>
      </c>
    </row>
    <row r="288" spans="1:9" x14ac:dyDescent="0.25">
      <c r="A288">
        <v>5996902</v>
      </c>
      <c r="B288" t="s">
        <v>18</v>
      </c>
      <c r="C288" t="s">
        <v>692</v>
      </c>
      <c r="D288" s="1">
        <v>44927</v>
      </c>
      <c r="E288" s="1">
        <v>45291</v>
      </c>
      <c r="F288">
        <v>60308</v>
      </c>
      <c r="G288" s="2" t="s">
        <v>655</v>
      </c>
      <c r="H288">
        <v>0</v>
      </c>
      <c r="I288" t="s">
        <v>21</v>
      </c>
    </row>
    <row r="289" spans="1:9" x14ac:dyDescent="0.25">
      <c r="A289">
        <v>5996903</v>
      </c>
      <c r="B289" t="s">
        <v>18</v>
      </c>
      <c r="C289" t="s">
        <v>692</v>
      </c>
      <c r="D289" s="1">
        <v>44927</v>
      </c>
      <c r="E289" s="1">
        <v>45291</v>
      </c>
      <c r="F289">
        <v>60309</v>
      </c>
      <c r="G289" s="2" t="s">
        <v>236</v>
      </c>
      <c r="H289">
        <v>0</v>
      </c>
      <c r="I289" t="s">
        <v>21</v>
      </c>
    </row>
    <row r="290" spans="1:9" x14ac:dyDescent="0.25">
      <c r="A290">
        <v>5996904</v>
      </c>
      <c r="B290" t="s">
        <v>18</v>
      </c>
      <c r="C290" t="s">
        <v>692</v>
      </c>
      <c r="D290" s="1">
        <v>44927</v>
      </c>
      <c r="E290" s="1">
        <v>45291</v>
      </c>
      <c r="F290">
        <v>60310</v>
      </c>
      <c r="G290" s="2" t="s">
        <v>238</v>
      </c>
      <c r="H290">
        <v>0</v>
      </c>
      <c r="I290" t="s">
        <v>21</v>
      </c>
    </row>
    <row r="291" spans="1:9" x14ac:dyDescent="0.25">
      <c r="A291">
        <v>5996905</v>
      </c>
      <c r="B291" t="s">
        <v>18</v>
      </c>
      <c r="C291" t="s">
        <v>692</v>
      </c>
      <c r="D291" s="1">
        <v>44927</v>
      </c>
      <c r="E291" s="1">
        <v>45291</v>
      </c>
      <c r="F291">
        <v>60311</v>
      </c>
      <c r="G291" s="2" t="s">
        <v>237</v>
      </c>
      <c r="H291">
        <v>0</v>
      </c>
      <c r="I291" t="s">
        <v>21</v>
      </c>
    </row>
    <row r="292" spans="1:9" x14ac:dyDescent="0.25">
      <c r="A292">
        <v>5996906</v>
      </c>
      <c r="B292" t="s">
        <v>18</v>
      </c>
      <c r="C292" t="s">
        <v>692</v>
      </c>
      <c r="D292" s="1">
        <v>44927</v>
      </c>
      <c r="E292" s="1">
        <v>45291</v>
      </c>
      <c r="F292">
        <v>60312</v>
      </c>
      <c r="G292" s="2" t="s">
        <v>110</v>
      </c>
      <c r="H292">
        <v>-2000</v>
      </c>
      <c r="I292" t="s">
        <v>21</v>
      </c>
    </row>
    <row r="293" spans="1:9" x14ac:dyDescent="0.25">
      <c r="A293">
        <v>5996907</v>
      </c>
      <c r="B293" t="s">
        <v>18</v>
      </c>
      <c r="C293" t="s">
        <v>692</v>
      </c>
      <c r="D293" s="1">
        <v>44927</v>
      </c>
      <c r="E293" s="1">
        <v>45291</v>
      </c>
      <c r="F293">
        <v>604</v>
      </c>
      <c r="G293" s="2" t="s">
        <v>239</v>
      </c>
      <c r="H293">
        <v>0</v>
      </c>
      <c r="I293" t="s">
        <v>21</v>
      </c>
    </row>
    <row r="294" spans="1:9" x14ac:dyDescent="0.25">
      <c r="A294">
        <v>5996908</v>
      </c>
      <c r="B294" t="s">
        <v>18</v>
      </c>
      <c r="C294" t="s">
        <v>692</v>
      </c>
      <c r="D294" s="1">
        <v>44927</v>
      </c>
      <c r="E294" s="1">
        <v>45291</v>
      </c>
      <c r="F294">
        <v>605</v>
      </c>
      <c r="G294" s="2" t="s">
        <v>240</v>
      </c>
      <c r="H294">
        <v>-721000</v>
      </c>
      <c r="I294" t="s">
        <v>21</v>
      </c>
    </row>
    <row r="295" spans="1:9" x14ac:dyDescent="0.25">
      <c r="A295">
        <v>5996909</v>
      </c>
      <c r="B295" t="s">
        <v>18</v>
      </c>
      <c r="C295" t="s">
        <v>692</v>
      </c>
      <c r="D295" s="1">
        <v>44927</v>
      </c>
      <c r="E295" s="1">
        <v>45291</v>
      </c>
      <c r="F295">
        <v>60501</v>
      </c>
      <c r="G295" s="2" t="s">
        <v>241</v>
      </c>
      <c r="H295">
        <v>2479000</v>
      </c>
      <c r="I295" t="s">
        <v>21</v>
      </c>
    </row>
    <row r="296" spans="1:9" x14ac:dyDescent="0.25">
      <c r="A296">
        <v>5996910</v>
      </c>
      <c r="B296" t="s">
        <v>18</v>
      </c>
      <c r="C296" t="s">
        <v>692</v>
      </c>
      <c r="D296" s="1">
        <v>44927</v>
      </c>
      <c r="E296" s="1">
        <v>45291</v>
      </c>
      <c r="F296">
        <v>60502</v>
      </c>
      <c r="G296" s="2" t="s">
        <v>242</v>
      </c>
      <c r="H296">
        <v>1758000</v>
      </c>
      <c r="I296" t="s">
        <v>21</v>
      </c>
    </row>
    <row r="297" spans="1:9" x14ac:dyDescent="0.25">
      <c r="A297">
        <v>5996911</v>
      </c>
      <c r="B297" t="s">
        <v>18</v>
      </c>
      <c r="C297" t="s">
        <v>692</v>
      </c>
      <c r="D297" s="1">
        <v>44927</v>
      </c>
      <c r="E297" s="1">
        <v>45291</v>
      </c>
      <c r="F297">
        <v>701</v>
      </c>
      <c r="G297" s="2" t="s">
        <v>243</v>
      </c>
      <c r="H297">
        <v>15243000</v>
      </c>
      <c r="I297" t="s">
        <v>21</v>
      </c>
    </row>
    <row r="298" spans="1:9" x14ac:dyDescent="0.25">
      <c r="A298">
        <v>5996912</v>
      </c>
      <c r="B298" t="s">
        <v>18</v>
      </c>
      <c r="C298" t="s">
        <v>692</v>
      </c>
      <c r="D298" s="1">
        <v>44927</v>
      </c>
      <c r="E298" s="1">
        <v>45291</v>
      </c>
      <c r="F298">
        <v>70101</v>
      </c>
      <c r="G298" s="2" t="s">
        <v>244</v>
      </c>
      <c r="H298">
        <v>17283000</v>
      </c>
      <c r="I298" t="s">
        <v>21</v>
      </c>
    </row>
    <row r="299" spans="1:9" x14ac:dyDescent="0.25">
      <c r="A299">
        <v>5996913</v>
      </c>
      <c r="B299" t="s">
        <v>18</v>
      </c>
      <c r="C299" t="s">
        <v>692</v>
      </c>
      <c r="D299" s="1">
        <v>44927</v>
      </c>
      <c r="E299" s="1">
        <v>45291</v>
      </c>
      <c r="F299">
        <v>70102</v>
      </c>
      <c r="G299" s="13" t="s">
        <v>245</v>
      </c>
      <c r="H299">
        <v>-1474000</v>
      </c>
      <c r="I299" t="s">
        <v>21</v>
      </c>
    </row>
    <row r="300" spans="1:9" x14ac:dyDescent="0.25">
      <c r="A300">
        <v>5996914</v>
      </c>
      <c r="B300" t="s">
        <v>18</v>
      </c>
      <c r="C300" t="s">
        <v>692</v>
      </c>
      <c r="D300" s="1">
        <v>44927</v>
      </c>
      <c r="E300" s="1">
        <v>45291</v>
      </c>
      <c r="F300">
        <v>70103</v>
      </c>
      <c r="G300" s="13" t="s">
        <v>246</v>
      </c>
      <c r="H300">
        <v>0</v>
      </c>
      <c r="I300" t="s">
        <v>21</v>
      </c>
    </row>
    <row r="301" spans="1:9" x14ac:dyDescent="0.25">
      <c r="A301">
        <v>5996915</v>
      </c>
      <c r="B301" t="s">
        <v>18</v>
      </c>
      <c r="C301" t="s">
        <v>692</v>
      </c>
      <c r="D301" s="1">
        <v>44927</v>
      </c>
      <c r="E301" s="1">
        <v>45291</v>
      </c>
      <c r="F301">
        <v>70104</v>
      </c>
      <c r="G301" s="2" t="s">
        <v>247</v>
      </c>
      <c r="H301">
        <v>-566000</v>
      </c>
      <c r="I301" t="s">
        <v>21</v>
      </c>
    </row>
    <row r="302" spans="1:9" x14ac:dyDescent="0.25">
      <c r="A302">
        <v>5996916</v>
      </c>
      <c r="B302" t="s">
        <v>18</v>
      </c>
      <c r="C302" t="s">
        <v>692</v>
      </c>
      <c r="D302" s="1">
        <v>44927</v>
      </c>
      <c r="E302" s="1">
        <v>45291</v>
      </c>
      <c r="F302">
        <v>702</v>
      </c>
      <c r="G302" s="2" t="s">
        <v>248</v>
      </c>
      <c r="H302">
        <v>-14837000</v>
      </c>
      <c r="I302" t="s">
        <v>21</v>
      </c>
    </row>
    <row r="303" spans="1:9" x14ac:dyDescent="0.25">
      <c r="A303">
        <v>5996917</v>
      </c>
      <c r="B303" t="s">
        <v>18</v>
      </c>
      <c r="C303" t="s">
        <v>692</v>
      </c>
      <c r="D303" s="1">
        <v>44927</v>
      </c>
      <c r="E303" s="1">
        <v>45291</v>
      </c>
      <c r="F303">
        <v>70201</v>
      </c>
      <c r="G303" s="13" t="s">
        <v>249</v>
      </c>
      <c r="H303">
        <v>-11837000</v>
      </c>
      <c r="I303" t="s">
        <v>21</v>
      </c>
    </row>
    <row r="304" spans="1:9" x14ac:dyDescent="0.25">
      <c r="A304">
        <v>5996918</v>
      </c>
      <c r="B304" t="s">
        <v>18</v>
      </c>
      <c r="C304" t="s">
        <v>692</v>
      </c>
      <c r="D304" s="1">
        <v>44927</v>
      </c>
      <c r="E304" s="1">
        <v>45291</v>
      </c>
      <c r="F304">
        <v>70202</v>
      </c>
      <c r="G304" s="2" t="s">
        <v>250</v>
      </c>
      <c r="H304">
        <v>-3000000</v>
      </c>
      <c r="I304" t="s">
        <v>21</v>
      </c>
    </row>
    <row r="305" spans="1:9" x14ac:dyDescent="0.25">
      <c r="A305">
        <v>5996919</v>
      </c>
      <c r="B305" t="s">
        <v>18</v>
      </c>
      <c r="C305" t="s">
        <v>692</v>
      </c>
      <c r="D305" s="1">
        <v>44927</v>
      </c>
      <c r="E305" s="1">
        <v>45291</v>
      </c>
      <c r="F305">
        <v>70203</v>
      </c>
      <c r="G305" s="2" t="s">
        <v>251</v>
      </c>
      <c r="H305">
        <v>0</v>
      </c>
      <c r="I305" t="s">
        <v>21</v>
      </c>
    </row>
    <row r="306" spans="1:9" x14ac:dyDescent="0.25">
      <c r="A306">
        <v>5996920</v>
      </c>
      <c r="B306" t="s">
        <v>18</v>
      </c>
      <c r="C306" t="s">
        <v>692</v>
      </c>
      <c r="D306" s="1">
        <v>44927</v>
      </c>
      <c r="E306" s="1">
        <v>45291</v>
      </c>
      <c r="F306">
        <v>70204</v>
      </c>
      <c r="G306" s="2" t="s">
        <v>44</v>
      </c>
      <c r="H306">
        <v>0</v>
      </c>
      <c r="I306" t="s">
        <v>21</v>
      </c>
    </row>
    <row r="307" spans="1:9" x14ac:dyDescent="0.25">
      <c r="A307">
        <v>5996921</v>
      </c>
      <c r="B307" t="s">
        <v>18</v>
      </c>
      <c r="C307" t="s">
        <v>692</v>
      </c>
      <c r="D307" s="1">
        <v>44927</v>
      </c>
      <c r="E307" s="1">
        <v>45291</v>
      </c>
      <c r="F307">
        <v>703</v>
      </c>
      <c r="G307" s="2" t="s">
        <v>252</v>
      </c>
      <c r="H307">
        <v>406000</v>
      </c>
      <c r="I307" t="s">
        <v>21</v>
      </c>
    </row>
    <row r="308" spans="1:9" x14ac:dyDescent="0.25">
      <c r="A308">
        <v>5996922</v>
      </c>
      <c r="B308" t="s">
        <v>18</v>
      </c>
      <c r="C308" t="s">
        <v>692</v>
      </c>
      <c r="D308" s="1">
        <v>44927</v>
      </c>
      <c r="E308" s="1">
        <v>45291</v>
      </c>
      <c r="F308">
        <v>704</v>
      </c>
      <c r="G308" s="13" t="s">
        <v>253</v>
      </c>
      <c r="H308">
        <v>-856000</v>
      </c>
      <c r="I308" t="s">
        <v>21</v>
      </c>
    </row>
    <row r="309" spans="1:9" x14ac:dyDescent="0.25">
      <c r="A309">
        <v>5996923</v>
      </c>
      <c r="B309" t="s">
        <v>18</v>
      </c>
      <c r="C309" t="s">
        <v>692</v>
      </c>
      <c r="D309" s="1">
        <v>44927</v>
      </c>
      <c r="E309" s="1">
        <v>45291</v>
      </c>
      <c r="F309">
        <v>70401</v>
      </c>
      <c r="G309" s="2" t="s">
        <v>254</v>
      </c>
      <c r="H309">
        <v>-1374000</v>
      </c>
      <c r="I309" t="s">
        <v>21</v>
      </c>
    </row>
    <row r="310" spans="1:9" x14ac:dyDescent="0.25">
      <c r="A310">
        <v>5996924</v>
      </c>
      <c r="B310" t="s">
        <v>18</v>
      </c>
      <c r="C310" t="s">
        <v>692</v>
      </c>
      <c r="D310" s="1">
        <v>44927</v>
      </c>
      <c r="E310" s="1">
        <v>45291</v>
      </c>
      <c r="F310">
        <v>70402</v>
      </c>
      <c r="G310" s="2" t="s">
        <v>255</v>
      </c>
      <c r="H310">
        <v>518000</v>
      </c>
      <c r="I310" t="s">
        <v>21</v>
      </c>
    </row>
    <row r="311" spans="1:9" x14ac:dyDescent="0.25">
      <c r="A311">
        <v>5996925</v>
      </c>
      <c r="B311" t="s">
        <v>18</v>
      </c>
      <c r="C311" t="s">
        <v>692</v>
      </c>
      <c r="D311" s="1">
        <v>44927</v>
      </c>
      <c r="E311" s="1">
        <v>45291</v>
      </c>
      <c r="F311">
        <v>7040201</v>
      </c>
      <c r="G311" s="2" t="s">
        <v>698</v>
      </c>
      <c r="H311">
        <v>518000</v>
      </c>
      <c r="I311" t="s">
        <v>21</v>
      </c>
    </row>
    <row r="312" spans="1:9" x14ac:dyDescent="0.25">
      <c r="A312">
        <v>5996926</v>
      </c>
      <c r="B312" t="s">
        <v>18</v>
      </c>
      <c r="C312" t="s">
        <v>692</v>
      </c>
      <c r="D312" s="1">
        <v>44927</v>
      </c>
      <c r="E312" s="1">
        <v>45291</v>
      </c>
      <c r="F312">
        <v>705</v>
      </c>
      <c r="G312" s="2" t="s">
        <v>257</v>
      </c>
      <c r="H312">
        <v>-450000</v>
      </c>
      <c r="I312" t="s">
        <v>21</v>
      </c>
    </row>
    <row r="313" spans="1:9" x14ac:dyDescent="0.25">
      <c r="A313">
        <v>5996927</v>
      </c>
      <c r="B313" t="s">
        <v>18</v>
      </c>
      <c r="C313" t="s">
        <v>692</v>
      </c>
      <c r="D313" s="1">
        <v>44927</v>
      </c>
      <c r="E313" s="1">
        <v>45291</v>
      </c>
      <c r="F313">
        <v>706</v>
      </c>
      <c r="G313" s="13" t="s">
        <v>258</v>
      </c>
      <c r="H313">
        <v>1382000</v>
      </c>
      <c r="I313" t="s">
        <v>21</v>
      </c>
    </row>
    <row r="314" spans="1:9" x14ac:dyDescent="0.25">
      <c r="A314">
        <v>5996928</v>
      </c>
      <c r="B314" t="s">
        <v>18</v>
      </c>
      <c r="C314" t="s">
        <v>692</v>
      </c>
      <c r="D314" s="1">
        <v>44927</v>
      </c>
      <c r="E314" s="1">
        <v>45291</v>
      </c>
      <c r="F314">
        <v>70601</v>
      </c>
      <c r="G314" s="13" t="s">
        <v>172</v>
      </c>
      <c r="H314">
        <v>-2000</v>
      </c>
      <c r="I314" t="s">
        <v>21</v>
      </c>
    </row>
    <row r="315" spans="1:9" x14ac:dyDescent="0.25">
      <c r="A315">
        <v>5996929</v>
      </c>
      <c r="B315" t="s">
        <v>18</v>
      </c>
      <c r="C315" t="s">
        <v>692</v>
      </c>
      <c r="D315" s="1">
        <v>44927</v>
      </c>
      <c r="E315" s="1">
        <v>45291</v>
      </c>
      <c r="F315">
        <v>70602</v>
      </c>
      <c r="G315" s="2" t="s">
        <v>175</v>
      </c>
      <c r="H315">
        <v>1384000</v>
      </c>
      <c r="I315" t="s">
        <v>21</v>
      </c>
    </row>
    <row r="316" spans="1:9" x14ac:dyDescent="0.25">
      <c r="A316">
        <v>5996930</v>
      </c>
      <c r="B316" t="s">
        <v>18</v>
      </c>
      <c r="C316" t="s">
        <v>692</v>
      </c>
      <c r="D316" s="1">
        <v>44927</v>
      </c>
      <c r="E316" s="1">
        <v>45291</v>
      </c>
      <c r="F316">
        <v>70603</v>
      </c>
      <c r="G316" s="2" t="s">
        <v>44</v>
      </c>
      <c r="H316">
        <v>0</v>
      </c>
      <c r="I316" t="s">
        <v>21</v>
      </c>
    </row>
    <row r="317" spans="1:9" x14ac:dyDescent="0.25">
      <c r="A317">
        <v>5996931</v>
      </c>
      <c r="B317" t="s">
        <v>18</v>
      </c>
      <c r="C317" t="s">
        <v>692</v>
      </c>
      <c r="D317" s="1">
        <v>44927</v>
      </c>
      <c r="E317" s="1">
        <v>45291</v>
      </c>
      <c r="F317">
        <v>707</v>
      </c>
      <c r="G317" s="14" t="s">
        <v>259</v>
      </c>
      <c r="H317">
        <v>932000</v>
      </c>
      <c r="I317" t="s">
        <v>21</v>
      </c>
    </row>
    <row r="318" spans="1:9" x14ac:dyDescent="0.25">
      <c r="A318">
        <v>5996932</v>
      </c>
      <c r="B318" t="s">
        <v>18</v>
      </c>
      <c r="C318" t="s">
        <v>692</v>
      </c>
      <c r="D318" s="1">
        <v>44927</v>
      </c>
      <c r="E318" s="1">
        <v>45291</v>
      </c>
      <c r="F318">
        <v>708</v>
      </c>
      <c r="G318" s="13" t="s">
        <v>260</v>
      </c>
      <c r="H318">
        <v>932000</v>
      </c>
      <c r="I318" t="s">
        <v>21</v>
      </c>
    </row>
    <row r="319" spans="1:9" x14ac:dyDescent="0.25">
      <c r="A319">
        <v>5996933</v>
      </c>
      <c r="B319" t="s">
        <v>18</v>
      </c>
      <c r="C319" t="s">
        <v>692</v>
      </c>
      <c r="D319" s="1">
        <v>44927</v>
      </c>
      <c r="E319" s="1">
        <v>45291</v>
      </c>
      <c r="F319">
        <v>70801</v>
      </c>
      <c r="G319" s="13" t="s">
        <v>261</v>
      </c>
      <c r="H319">
        <v>2271000</v>
      </c>
      <c r="I319" t="s">
        <v>21</v>
      </c>
    </row>
    <row r="320" spans="1:9" x14ac:dyDescent="0.25">
      <c r="A320">
        <v>5996934</v>
      </c>
      <c r="B320" t="s">
        <v>18</v>
      </c>
      <c r="C320" t="s">
        <v>692</v>
      </c>
      <c r="D320" s="1">
        <v>44927</v>
      </c>
      <c r="E320" s="1">
        <v>45291</v>
      </c>
      <c r="F320">
        <v>7080101</v>
      </c>
      <c r="G320" s="2" t="s">
        <v>262</v>
      </c>
      <c r="H320">
        <v>1855000</v>
      </c>
      <c r="I320" t="s">
        <v>21</v>
      </c>
    </row>
    <row r="321" spans="1:9" x14ac:dyDescent="0.25">
      <c r="A321">
        <v>5996935</v>
      </c>
      <c r="B321" t="s">
        <v>18</v>
      </c>
      <c r="C321" t="s">
        <v>692</v>
      </c>
      <c r="D321" s="1">
        <v>44927</v>
      </c>
      <c r="E321" s="1">
        <v>45291</v>
      </c>
      <c r="F321">
        <v>7080102</v>
      </c>
      <c r="G321" s="2" t="s">
        <v>263</v>
      </c>
      <c r="H321">
        <v>265000</v>
      </c>
      <c r="I321" t="s">
        <v>21</v>
      </c>
    </row>
    <row r="322" spans="1:9" x14ac:dyDescent="0.25">
      <c r="A322">
        <v>5996936</v>
      </c>
      <c r="B322" t="s">
        <v>18</v>
      </c>
      <c r="C322" t="s">
        <v>692</v>
      </c>
      <c r="D322" s="1">
        <v>44927</v>
      </c>
      <c r="E322" s="1">
        <v>45291</v>
      </c>
      <c r="F322">
        <v>7080103</v>
      </c>
      <c r="G322" s="2" t="s">
        <v>264</v>
      </c>
      <c r="H322">
        <v>151000</v>
      </c>
      <c r="I322" t="s">
        <v>21</v>
      </c>
    </row>
    <row r="323" spans="1:9" x14ac:dyDescent="0.25">
      <c r="A323">
        <v>5996937</v>
      </c>
      <c r="B323" t="s">
        <v>18</v>
      </c>
      <c r="C323" t="s">
        <v>692</v>
      </c>
      <c r="D323" s="1">
        <v>44927</v>
      </c>
      <c r="E323" s="1">
        <v>45291</v>
      </c>
      <c r="F323">
        <v>7080104</v>
      </c>
      <c r="G323" s="13" t="s">
        <v>44</v>
      </c>
      <c r="H323">
        <v>0</v>
      </c>
      <c r="I323" t="s">
        <v>21</v>
      </c>
    </row>
    <row r="324" spans="1:9" x14ac:dyDescent="0.25">
      <c r="A324">
        <v>5996938</v>
      </c>
      <c r="B324" t="s">
        <v>18</v>
      </c>
      <c r="C324" t="s">
        <v>692</v>
      </c>
      <c r="D324" s="1">
        <v>44927</v>
      </c>
      <c r="E324" s="1">
        <v>45291</v>
      </c>
      <c r="F324">
        <v>70802</v>
      </c>
      <c r="G324" s="13" t="s">
        <v>265</v>
      </c>
      <c r="H324">
        <v>-3529000</v>
      </c>
      <c r="I324" t="s">
        <v>21</v>
      </c>
    </row>
    <row r="325" spans="1:9" x14ac:dyDescent="0.25">
      <c r="A325">
        <v>5996939</v>
      </c>
      <c r="B325" t="s">
        <v>18</v>
      </c>
      <c r="C325" t="s">
        <v>692</v>
      </c>
      <c r="D325" s="1">
        <v>44927</v>
      </c>
      <c r="E325" s="1">
        <v>45291</v>
      </c>
      <c r="F325">
        <v>7080201</v>
      </c>
      <c r="G325" s="2" t="s">
        <v>266</v>
      </c>
      <c r="H325">
        <v>-4742000</v>
      </c>
      <c r="I325" t="s">
        <v>21</v>
      </c>
    </row>
    <row r="326" spans="1:9" x14ac:dyDescent="0.25">
      <c r="A326">
        <v>5996940</v>
      </c>
      <c r="B326" t="s">
        <v>18</v>
      </c>
      <c r="C326" t="s">
        <v>692</v>
      </c>
      <c r="D326" s="1">
        <v>44927</v>
      </c>
      <c r="E326" s="1">
        <v>45291</v>
      </c>
      <c r="F326">
        <v>7080202</v>
      </c>
      <c r="G326" s="14" t="s">
        <v>267</v>
      </c>
      <c r="H326">
        <v>1091000</v>
      </c>
      <c r="I326" t="s">
        <v>21</v>
      </c>
    </row>
    <row r="327" spans="1:9" x14ac:dyDescent="0.25">
      <c r="A327">
        <v>5996941</v>
      </c>
      <c r="B327" t="s">
        <v>18</v>
      </c>
      <c r="C327" t="s">
        <v>692</v>
      </c>
      <c r="D327" s="1">
        <v>44927</v>
      </c>
      <c r="E327" s="1">
        <v>45291</v>
      </c>
      <c r="F327">
        <v>7080203</v>
      </c>
      <c r="G327" s="14" t="s">
        <v>268</v>
      </c>
      <c r="H327">
        <v>122000</v>
      </c>
      <c r="I327" t="s">
        <v>21</v>
      </c>
    </row>
    <row r="328" spans="1:9" x14ac:dyDescent="0.25">
      <c r="A328">
        <v>5996942</v>
      </c>
      <c r="B328" t="s">
        <v>18</v>
      </c>
      <c r="C328" t="s">
        <v>692</v>
      </c>
      <c r="D328" s="1">
        <v>44927</v>
      </c>
      <c r="E328" s="1">
        <v>45291</v>
      </c>
      <c r="F328">
        <v>70803</v>
      </c>
      <c r="G328" s="14" t="s">
        <v>269</v>
      </c>
      <c r="H328">
        <v>4462000</v>
      </c>
      <c r="I328" t="s">
        <v>21</v>
      </c>
    </row>
    <row r="329" spans="1:9" x14ac:dyDescent="0.25">
      <c r="A329">
        <v>5996943</v>
      </c>
      <c r="B329" t="s">
        <v>18</v>
      </c>
      <c r="C329" t="s">
        <v>692</v>
      </c>
      <c r="D329" s="1">
        <v>44927</v>
      </c>
      <c r="E329" s="1">
        <v>45291</v>
      </c>
      <c r="F329">
        <v>7080301</v>
      </c>
      <c r="G329" s="14" t="s">
        <v>270</v>
      </c>
      <c r="H329">
        <v>4240000</v>
      </c>
      <c r="I329" t="s">
        <v>21</v>
      </c>
    </row>
    <row r="330" spans="1:9" x14ac:dyDescent="0.25">
      <c r="A330">
        <v>5996944</v>
      </c>
      <c r="B330" t="s">
        <v>18</v>
      </c>
      <c r="C330" t="s">
        <v>692</v>
      </c>
      <c r="D330" s="1">
        <v>44927</v>
      </c>
      <c r="E330" s="1">
        <v>45291</v>
      </c>
      <c r="F330">
        <v>7080302</v>
      </c>
      <c r="G330" s="2" t="s">
        <v>271</v>
      </c>
      <c r="H330">
        <v>181000</v>
      </c>
      <c r="I330" t="s">
        <v>21</v>
      </c>
    </row>
    <row r="331" spans="1:9" x14ac:dyDescent="0.25">
      <c r="A331">
        <v>5996945</v>
      </c>
      <c r="B331" t="s">
        <v>18</v>
      </c>
      <c r="C331" t="s">
        <v>692</v>
      </c>
      <c r="D331" s="1">
        <v>44927</v>
      </c>
      <c r="E331" s="1">
        <v>45291</v>
      </c>
      <c r="F331">
        <v>7080303</v>
      </c>
      <c r="G331" s="14" t="s">
        <v>255</v>
      </c>
      <c r="H331">
        <v>41000</v>
      </c>
      <c r="I331" t="s">
        <v>21</v>
      </c>
    </row>
    <row r="332" spans="1:9" x14ac:dyDescent="0.25">
      <c r="A332">
        <v>5996946</v>
      </c>
      <c r="B332" t="s">
        <v>18</v>
      </c>
      <c r="C332" t="s">
        <v>692</v>
      </c>
      <c r="D332" s="1">
        <v>44927</v>
      </c>
      <c r="E332" s="1">
        <v>45291</v>
      </c>
      <c r="F332">
        <v>70804</v>
      </c>
      <c r="G332" s="14" t="s">
        <v>272</v>
      </c>
      <c r="H332">
        <v>-2272000</v>
      </c>
      <c r="I332" t="s">
        <v>21</v>
      </c>
    </row>
    <row r="333" spans="1:9" x14ac:dyDescent="0.25">
      <c r="A333">
        <v>5996947</v>
      </c>
      <c r="B333" t="s">
        <v>18</v>
      </c>
      <c r="C333" t="s">
        <v>692</v>
      </c>
      <c r="D333" s="1">
        <v>44927</v>
      </c>
      <c r="E333" s="1">
        <v>45291</v>
      </c>
      <c r="F333">
        <v>7080401</v>
      </c>
      <c r="G333" s="14" t="s">
        <v>273</v>
      </c>
      <c r="H333">
        <v>0</v>
      </c>
      <c r="I333" t="s">
        <v>21</v>
      </c>
    </row>
    <row r="334" spans="1:9" x14ac:dyDescent="0.25">
      <c r="A334">
        <v>5996948</v>
      </c>
      <c r="B334" t="s">
        <v>18</v>
      </c>
      <c r="C334" t="s">
        <v>692</v>
      </c>
      <c r="D334" s="1">
        <v>44927</v>
      </c>
      <c r="E334" s="1">
        <v>45291</v>
      </c>
      <c r="F334">
        <v>7080402</v>
      </c>
      <c r="G334" s="2" t="s">
        <v>235</v>
      </c>
      <c r="H334">
        <v>0</v>
      </c>
      <c r="I334" t="s">
        <v>21</v>
      </c>
    </row>
    <row r="335" spans="1:9" x14ac:dyDescent="0.25">
      <c r="A335">
        <v>5996949</v>
      </c>
      <c r="B335" t="s">
        <v>18</v>
      </c>
      <c r="C335" t="s">
        <v>692</v>
      </c>
      <c r="D335" s="1">
        <v>44927</v>
      </c>
      <c r="E335" s="1">
        <v>45291</v>
      </c>
      <c r="F335">
        <v>7080403</v>
      </c>
      <c r="G335" s="14" t="s">
        <v>274</v>
      </c>
      <c r="H335">
        <v>-2272000</v>
      </c>
      <c r="I335" t="s">
        <v>21</v>
      </c>
    </row>
    <row r="336" spans="1:9" x14ac:dyDescent="0.25">
      <c r="A336">
        <v>5996950</v>
      </c>
      <c r="B336" t="s">
        <v>18</v>
      </c>
      <c r="C336" t="s">
        <v>692</v>
      </c>
      <c r="D336" s="1">
        <v>44927</v>
      </c>
      <c r="E336" s="1">
        <v>45291</v>
      </c>
      <c r="F336">
        <v>7080404</v>
      </c>
      <c r="G336" s="14" t="s">
        <v>275</v>
      </c>
      <c r="H336">
        <v>0</v>
      </c>
      <c r="I336" t="s">
        <v>21</v>
      </c>
    </row>
    <row r="337" spans="1:9" x14ac:dyDescent="0.25">
      <c r="A337">
        <v>5996951</v>
      </c>
      <c r="B337" t="s">
        <v>18</v>
      </c>
      <c r="C337" t="s">
        <v>692</v>
      </c>
      <c r="D337" s="1">
        <v>44927</v>
      </c>
      <c r="E337" s="1">
        <v>45291</v>
      </c>
      <c r="F337">
        <v>70805</v>
      </c>
      <c r="G337" s="14" t="s">
        <v>44</v>
      </c>
      <c r="H337">
        <v>0</v>
      </c>
      <c r="I337" t="s">
        <v>21</v>
      </c>
    </row>
    <row r="338" spans="1:9" x14ac:dyDescent="0.25">
      <c r="G338" s="2"/>
    </row>
    <row r="339" spans="1:9" x14ac:dyDescent="0.25">
      <c r="G339" s="14"/>
    </row>
    <row r="340" spans="1:9" x14ac:dyDescent="0.25">
      <c r="G340" s="14"/>
    </row>
    <row r="341" spans="1:9" x14ac:dyDescent="0.25">
      <c r="G341" s="14"/>
    </row>
    <row r="342" spans="1:9" x14ac:dyDescent="0.25">
      <c r="G342" s="14"/>
    </row>
    <row r="343" spans="1:9" x14ac:dyDescent="0.25">
      <c r="G343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77AC-D02D-4CF2-8AF3-6B2B31E3C55D}">
  <sheetPr>
    <tabColor rgb="FF411214"/>
  </sheetPr>
  <dimension ref="A1:I1048551"/>
  <sheetViews>
    <sheetView showGridLines="0" workbookViewId="0">
      <selection activeCell="G1" sqref="G1:G1048576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9.42578125" bestFit="1" customWidth="1"/>
    <col min="4" max="4" width="10.42578125" bestFit="1" customWidth="1"/>
    <col min="5" max="5" width="11" bestFit="1" customWidth="1"/>
    <col min="6" max="6" width="12.28515625" bestFit="1" customWidth="1"/>
    <col min="7" max="7" width="76.5703125" bestFit="1" customWidth="1"/>
    <col min="8" max="8" width="11.140625" style="4" bestFit="1" customWidth="1"/>
    <col min="9" max="9" width="17.28515625" bestFit="1" customWidth="1"/>
  </cols>
  <sheetData>
    <row r="1" spans="1:9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s="4" t="s">
        <v>16</v>
      </c>
      <c r="I1" t="s">
        <v>17</v>
      </c>
    </row>
    <row r="2" spans="1:9" ht="15.75" x14ac:dyDescent="0.25">
      <c r="A2">
        <v>6169170</v>
      </c>
      <c r="B2" t="s">
        <v>18</v>
      </c>
      <c r="C2" t="s">
        <v>627</v>
      </c>
      <c r="D2" s="1">
        <v>45657</v>
      </c>
      <c r="E2" s="1">
        <v>45657</v>
      </c>
      <c r="F2" t="s">
        <v>277</v>
      </c>
      <c r="G2" s="12" t="s">
        <v>20</v>
      </c>
      <c r="H2" s="4">
        <v>17465000</v>
      </c>
      <c r="I2" t="s">
        <v>21</v>
      </c>
    </row>
    <row r="3" spans="1:9" x14ac:dyDescent="0.25">
      <c r="A3">
        <v>6169171</v>
      </c>
      <c r="B3" t="s">
        <v>18</v>
      </c>
      <c r="C3" t="s">
        <v>627</v>
      </c>
      <c r="D3" s="1">
        <v>45657</v>
      </c>
      <c r="E3" s="1">
        <v>45657</v>
      </c>
      <c r="F3" t="s">
        <v>278</v>
      </c>
      <c r="G3" s="13" t="s">
        <v>2</v>
      </c>
      <c r="H3" s="4">
        <v>7078000</v>
      </c>
      <c r="I3" t="s">
        <v>21</v>
      </c>
    </row>
    <row r="4" spans="1:9" x14ac:dyDescent="0.25">
      <c r="A4">
        <v>6169172</v>
      </c>
      <c r="B4" t="s">
        <v>18</v>
      </c>
      <c r="C4" t="s">
        <v>627</v>
      </c>
      <c r="D4" s="1">
        <v>45657</v>
      </c>
      <c r="E4" s="1">
        <v>45657</v>
      </c>
      <c r="F4" t="s">
        <v>279</v>
      </c>
      <c r="G4" s="2" t="s">
        <v>22</v>
      </c>
      <c r="H4" s="4">
        <v>1129000</v>
      </c>
      <c r="I4" t="s">
        <v>21</v>
      </c>
    </row>
    <row r="5" spans="1:9" x14ac:dyDescent="0.25">
      <c r="A5">
        <v>6169173</v>
      </c>
      <c r="B5" t="s">
        <v>18</v>
      </c>
      <c r="C5" t="s">
        <v>627</v>
      </c>
      <c r="D5" s="1">
        <v>45657</v>
      </c>
      <c r="E5" s="1">
        <v>45657</v>
      </c>
      <c r="F5" t="s">
        <v>280</v>
      </c>
      <c r="G5" s="2" t="s">
        <v>23</v>
      </c>
      <c r="H5" s="4">
        <v>21000</v>
      </c>
      <c r="I5" t="s">
        <v>21</v>
      </c>
    </row>
    <row r="6" spans="1:9" x14ac:dyDescent="0.25">
      <c r="A6">
        <v>6169174</v>
      </c>
      <c r="B6" t="s">
        <v>18</v>
      </c>
      <c r="C6" t="s">
        <v>627</v>
      </c>
      <c r="D6" s="1">
        <v>45657</v>
      </c>
      <c r="E6" s="1">
        <v>45657</v>
      </c>
      <c r="F6" t="s">
        <v>281</v>
      </c>
      <c r="G6" s="14" t="s">
        <v>24</v>
      </c>
      <c r="H6" s="4">
        <v>21000</v>
      </c>
      <c r="I6" t="s">
        <v>21</v>
      </c>
    </row>
    <row r="7" spans="1:9" x14ac:dyDescent="0.25">
      <c r="A7">
        <v>6169175</v>
      </c>
      <c r="B7" t="s">
        <v>18</v>
      </c>
      <c r="C7" t="s">
        <v>627</v>
      </c>
      <c r="D7" s="1">
        <v>45657</v>
      </c>
      <c r="E7" s="1">
        <v>45657</v>
      </c>
      <c r="F7" t="s">
        <v>282</v>
      </c>
      <c r="G7" s="15" t="s">
        <v>25</v>
      </c>
      <c r="H7" s="4">
        <v>0</v>
      </c>
      <c r="I7" t="s">
        <v>21</v>
      </c>
    </row>
    <row r="8" spans="1:9" x14ac:dyDescent="0.25">
      <c r="A8">
        <v>6169176</v>
      </c>
      <c r="B8" t="s">
        <v>18</v>
      </c>
      <c r="C8" t="s">
        <v>627</v>
      </c>
      <c r="D8" s="1">
        <v>45657</v>
      </c>
      <c r="E8" s="1">
        <v>45657</v>
      </c>
      <c r="F8" t="s">
        <v>283</v>
      </c>
      <c r="G8" s="15" t="s">
        <v>26</v>
      </c>
      <c r="H8" s="4">
        <v>0</v>
      </c>
      <c r="I8" t="s">
        <v>21</v>
      </c>
    </row>
    <row r="9" spans="1:9" x14ac:dyDescent="0.25">
      <c r="A9">
        <v>6169177</v>
      </c>
      <c r="B9" t="s">
        <v>18</v>
      </c>
      <c r="C9" t="s">
        <v>627</v>
      </c>
      <c r="D9" s="1">
        <v>45657</v>
      </c>
      <c r="E9" s="1">
        <v>45657</v>
      </c>
      <c r="F9" t="s">
        <v>284</v>
      </c>
      <c r="G9" s="15" t="s">
        <v>27</v>
      </c>
      <c r="H9" s="4">
        <v>21000</v>
      </c>
      <c r="I9" t="s">
        <v>21</v>
      </c>
    </row>
    <row r="10" spans="1:9" x14ac:dyDescent="0.25">
      <c r="A10">
        <v>6169178</v>
      </c>
      <c r="B10" t="s">
        <v>18</v>
      </c>
      <c r="C10" t="s">
        <v>627</v>
      </c>
      <c r="D10" s="1">
        <v>45657</v>
      </c>
      <c r="E10" s="1">
        <v>45657</v>
      </c>
      <c r="F10" t="s">
        <v>285</v>
      </c>
      <c r="G10" s="15" t="s">
        <v>28</v>
      </c>
      <c r="H10" s="4">
        <v>0</v>
      </c>
      <c r="I10" t="s">
        <v>21</v>
      </c>
    </row>
    <row r="11" spans="1:9" x14ac:dyDescent="0.25">
      <c r="A11">
        <v>6169179</v>
      </c>
      <c r="B11" t="s">
        <v>18</v>
      </c>
      <c r="C11" t="s">
        <v>627</v>
      </c>
      <c r="D11" s="1">
        <v>45657</v>
      </c>
      <c r="E11" s="1">
        <v>45657</v>
      </c>
      <c r="F11" t="s">
        <v>286</v>
      </c>
      <c r="G11" s="14" t="s">
        <v>29</v>
      </c>
      <c r="H11" s="4">
        <v>0</v>
      </c>
      <c r="I11" t="s">
        <v>21</v>
      </c>
    </row>
    <row r="12" spans="1:9" x14ac:dyDescent="0.25">
      <c r="A12">
        <v>6169180</v>
      </c>
      <c r="B12" t="s">
        <v>18</v>
      </c>
      <c r="C12" t="s">
        <v>627</v>
      </c>
      <c r="D12" s="1">
        <v>45657</v>
      </c>
      <c r="E12" s="1">
        <v>45657</v>
      </c>
      <c r="F12" t="s">
        <v>287</v>
      </c>
      <c r="G12" s="14" t="s">
        <v>30</v>
      </c>
      <c r="H12" s="4">
        <v>0</v>
      </c>
      <c r="I12" t="s">
        <v>21</v>
      </c>
    </row>
    <row r="13" spans="1:9" x14ac:dyDescent="0.25">
      <c r="A13">
        <v>6169181</v>
      </c>
      <c r="B13" t="s">
        <v>18</v>
      </c>
      <c r="C13" t="s">
        <v>627</v>
      </c>
      <c r="D13" s="1">
        <v>45657</v>
      </c>
      <c r="E13" s="1">
        <v>45657</v>
      </c>
      <c r="F13" t="s">
        <v>288</v>
      </c>
      <c r="G13" s="2" t="s">
        <v>31</v>
      </c>
      <c r="H13" s="4">
        <v>1796000</v>
      </c>
      <c r="I13" t="s">
        <v>21</v>
      </c>
    </row>
    <row r="14" spans="1:9" x14ac:dyDescent="0.25">
      <c r="A14">
        <v>6169182</v>
      </c>
      <c r="B14" t="s">
        <v>18</v>
      </c>
      <c r="C14" t="s">
        <v>627</v>
      </c>
      <c r="D14" s="1">
        <v>45657</v>
      </c>
      <c r="E14" s="1">
        <v>45657</v>
      </c>
      <c r="F14" t="s">
        <v>289</v>
      </c>
      <c r="G14" s="14" t="s">
        <v>32</v>
      </c>
      <c r="H14" s="4">
        <v>1796000</v>
      </c>
      <c r="I14" t="s">
        <v>21</v>
      </c>
    </row>
    <row r="15" spans="1:9" x14ac:dyDescent="0.25">
      <c r="A15">
        <v>6169183</v>
      </c>
      <c r="B15" t="s">
        <v>18</v>
      </c>
      <c r="C15" t="s">
        <v>627</v>
      </c>
      <c r="D15" s="1">
        <v>45657</v>
      </c>
      <c r="E15" s="1">
        <v>45657</v>
      </c>
      <c r="F15" t="s">
        <v>290</v>
      </c>
      <c r="G15" s="14" t="s">
        <v>33</v>
      </c>
      <c r="H15" s="4">
        <v>0</v>
      </c>
      <c r="I15" t="s">
        <v>21</v>
      </c>
    </row>
    <row r="16" spans="1:9" x14ac:dyDescent="0.25">
      <c r="A16">
        <v>6169184</v>
      </c>
      <c r="B16" t="s">
        <v>18</v>
      </c>
      <c r="C16" t="s">
        <v>627</v>
      </c>
      <c r="D16" s="1">
        <v>45657</v>
      </c>
      <c r="E16" s="1">
        <v>45657</v>
      </c>
      <c r="F16" t="s">
        <v>291</v>
      </c>
      <c r="G16" s="2" t="s">
        <v>34</v>
      </c>
      <c r="H16" s="4">
        <v>1899000</v>
      </c>
      <c r="I16" t="s">
        <v>21</v>
      </c>
    </row>
    <row r="17" spans="1:9" x14ac:dyDescent="0.25">
      <c r="A17">
        <v>6169185</v>
      </c>
      <c r="B17" t="s">
        <v>18</v>
      </c>
      <c r="C17" t="s">
        <v>627</v>
      </c>
      <c r="D17" s="1">
        <v>45657</v>
      </c>
      <c r="E17" s="1">
        <v>45657</v>
      </c>
      <c r="F17" t="s">
        <v>292</v>
      </c>
      <c r="G17" s="14" t="s">
        <v>34</v>
      </c>
      <c r="H17" s="4">
        <v>1899000</v>
      </c>
      <c r="I17" t="s">
        <v>21</v>
      </c>
    </row>
    <row r="18" spans="1:9" x14ac:dyDescent="0.25">
      <c r="A18">
        <v>6169186</v>
      </c>
      <c r="B18" t="s">
        <v>18</v>
      </c>
      <c r="C18" t="s">
        <v>627</v>
      </c>
      <c r="D18" s="1">
        <v>45657</v>
      </c>
      <c r="E18" s="1">
        <v>45657</v>
      </c>
      <c r="F18" t="s">
        <v>293</v>
      </c>
      <c r="G18" s="2" t="s">
        <v>35</v>
      </c>
      <c r="H18" s="4">
        <v>0</v>
      </c>
      <c r="I18" t="s">
        <v>21</v>
      </c>
    </row>
    <row r="19" spans="1:9" x14ac:dyDescent="0.25">
      <c r="A19">
        <v>6169187</v>
      </c>
      <c r="B19" t="s">
        <v>18</v>
      </c>
      <c r="C19" t="s">
        <v>627</v>
      </c>
      <c r="D19" s="1">
        <v>45657</v>
      </c>
      <c r="E19" s="1">
        <v>45657</v>
      </c>
      <c r="F19" t="s">
        <v>294</v>
      </c>
      <c r="G19" s="2" t="s">
        <v>36</v>
      </c>
      <c r="H19" s="4">
        <v>1249000</v>
      </c>
      <c r="I19" t="s">
        <v>21</v>
      </c>
    </row>
    <row r="20" spans="1:9" x14ac:dyDescent="0.25">
      <c r="A20">
        <v>6169188</v>
      </c>
      <c r="B20" t="s">
        <v>18</v>
      </c>
      <c r="C20" t="s">
        <v>627</v>
      </c>
      <c r="D20" s="1">
        <v>45657</v>
      </c>
      <c r="E20" s="1">
        <v>45657</v>
      </c>
      <c r="F20" t="s">
        <v>295</v>
      </c>
      <c r="G20" s="14" t="s">
        <v>37</v>
      </c>
      <c r="H20" s="4">
        <v>1249000</v>
      </c>
      <c r="I20" t="s">
        <v>21</v>
      </c>
    </row>
    <row r="21" spans="1:9" x14ac:dyDescent="0.25">
      <c r="A21">
        <v>6169189</v>
      </c>
      <c r="B21" t="s">
        <v>18</v>
      </c>
      <c r="C21" t="s">
        <v>627</v>
      </c>
      <c r="D21" s="1">
        <v>45657</v>
      </c>
      <c r="E21" s="1">
        <v>45657</v>
      </c>
      <c r="F21" t="s">
        <v>296</v>
      </c>
      <c r="G21" s="15" t="s">
        <v>38</v>
      </c>
      <c r="H21" s="4">
        <v>1125000</v>
      </c>
      <c r="I21" t="s">
        <v>21</v>
      </c>
    </row>
    <row r="22" spans="1:9" x14ac:dyDescent="0.25">
      <c r="A22">
        <v>6169190</v>
      </c>
      <c r="B22" t="s">
        <v>18</v>
      </c>
      <c r="C22" t="s">
        <v>627</v>
      </c>
      <c r="D22" s="1">
        <v>45657</v>
      </c>
      <c r="E22" s="1">
        <v>45657</v>
      </c>
      <c r="F22" t="s">
        <v>297</v>
      </c>
      <c r="G22" s="15" t="s">
        <v>39</v>
      </c>
      <c r="H22" s="4">
        <v>124000</v>
      </c>
      <c r="I22" t="s">
        <v>21</v>
      </c>
    </row>
    <row r="23" spans="1:9" x14ac:dyDescent="0.25">
      <c r="A23">
        <v>6169191</v>
      </c>
      <c r="B23" t="s">
        <v>18</v>
      </c>
      <c r="C23" t="s">
        <v>627</v>
      </c>
      <c r="D23" s="1">
        <v>45657</v>
      </c>
      <c r="E23" s="1">
        <v>45657</v>
      </c>
      <c r="F23" t="s">
        <v>298</v>
      </c>
      <c r="G23" s="2" t="s">
        <v>40</v>
      </c>
      <c r="H23" s="4">
        <v>130000</v>
      </c>
      <c r="I23" t="s">
        <v>21</v>
      </c>
    </row>
    <row r="24" spans="1:9" x14ac:dyDescent="0.25">
      <c r="A24">
        <v>6169192</v>
      </c>
      <c r="B24" t="s">
        <v>18</v>
      </c>
      <c r="C24" t="s">
        <v>627</v>
      </c>
      <c r="D24" s="1">
        <v>45657</v>
      </c>
      <c r="E24" s="1">
        <v>45657</v>
      </c>
      <c r="F24" t="s">
        <v>299</v>
      </c>
      <c r="G24" s="14" t="s">
        <v>40</v>
      </c>
      <c r="H24" s="4">
        <v>130000</v>
      </c>
      <c r="I24" t="s">
        <v>21</v>
      </c>
    </row>
    <row r="25" spans="1:9" x14ac:dyDescent="0.25">
      <c r="A25">
        <v>6169193</v>
      </c>
      <c r="B25" t="s">
        <v>18</v>
      </c>
      <c r="C25" t="s">
        <v>627</v>
      </c>
      <c r="D25" s="1">
        <v>45657</v>
      </c>
      <c r="E25" s="1">
        <v>45657</v>
      </c>
      <c r="F25" t="s">
        <v>300</v>
      </c>
      <c r="G25" s="2" t="s">
        <v>41</v>
      </c>
      <c r="H25" s="4">
        <v>854000</v>
      </c>
      <c r="I25" t="s">
        <v>21</v>
      </c>
    </row>
    <row r="26" spans="1:9" x14ac:dyDescent="0.25">
      <c r="A26">
        <v>6169194</v>
      </c>
      <c r="B26" t="s">
        <v>18</v>
      </c>
      <c r="C26" t="s">
        <v>627</v>
      </c>
      <c r="D26" s="1">
        <v>45657</v>
      </c>
      <c r="E26" s="1">
        <v>45657</v>
      </c>
      <c r="F26" t="s">
        <v>301</v>
      </c>
      <c r="G26" s="14" t="s">
        <v>42</v>
      </c>
      <c r="H26" s="4">
        <v>0</v>
      </c>
      <c r="I26" t="s">
        <v>21</v>
      </c>
    </row>
    <row r="27" spans="1:9" x14ac:dyDescent="0.25">
      <c r="A27">
        <v>6169195</v>
      </c>
      <c r="B27" t="s">
        <v>18</v>
      </c>
      <c r="C27" t="s">
        <v>627</v>
      </c>
      <c r="D27" s="1">
        <v>45657</v>
      </c>
      <c r="E27" s="1">
        <v>45657</v>
      </c>
      <c r="F27" t="s">
        <v>302</v>
      </c>
      <c r="G27" s="14" t="s">
        <v>43</v>
      </c>
      <c r="H27" s="4">
        <v>502000</v>
      </c>
      <c r="I27" t="s">
        <v>21</v>
      </c>
    </row>
    <row r="28" spans="1:9" x14ac:dyDescent="0.25">
      <c r="A28">
        <v>6169196</v>
      </c>
      <c r="B28" t="s">
        <v>18</v>
      </c>
      <c r="C28" t="s">
        <v>627</v>
      </c>
      <c r="D28" s="1">
        <v>45657</v>
      </c>
      <c r="E28" s="1">
        <v>45657</v>
      </c>
      <c r="F28" t="s">
        <v>303</v>
      </c>
      <c r="G28" s="14" t="s">
        <v>44</v>
      </c>
      <c r="H28" s="4">
        <v>352000</v>
      </c>
      <c r="I28" t="s">
        <v>21</v>
      </c>
    </row>
    <row r="29" spans="1:9" x14ac:dyDescent="0.25">
      <c r="A29">
        <v>6169197</v>
      </c>
      <c r="B29" t="s">
        <v>18</v>
      </c>
      <c r="C29" t="s">
        <v>627</v>
      </c>
      <c r="D29" s="1">
        <v>45657</v>
      </c>
      <c r="E29" s="1">
        <v>45657</v>
      </c>
      <c r="F29" t="s">
        <v>304</v>
      </c>
      <c r="G29" s="15" t="s">
        <v>44</v>
      </c>
      <c r="H29" s="4">
        <v>352000</v>
      </c>
      <c r="I29" t="s">
        <v>21</v>
      </c>
    </row>
    <row r="30" spans="1:9" x14ac:dyDescent="0.25">
      <c r="A30">
        <v>6169198</v>
      </c>
      <c r="B30" t="s">
        <v>18</v>
      </c>
      <c r="C30" t="s">
        <v>627</v>
      </c>
      <c r="D30" s="1">
        <v>45657</v>
      </c>
      <c r="E30" s="1">
        <v>45657</v>
      </c>
      <c r="F30" t="s">
        <v>305</v>
      </c>
      <c r="G30" s="15" t="s">
        <v>45</v>
      </c>
      <c r="H30" s="4">
        <v>0</v>
      </c>
      <c r="I30" t="s">
        <v>21</v>
      </c>
    </row>
    <row r="31" spans="1:9" x14ac:dyDescent="0.25">
      <c r="A31">
        <v>6169199</v>
      </c>
      <c r="B31" t="s">
        <v>18</v>
      </c>
      <c r="C31" t="s">
        <v>627</v>
      </c>
      <c r="D31" s="1">
        <v>45657</v>
      </c>
      <c r="E31" s="1">
        <v>45657</v>
      </c>
      <c r="F31" t="s">
        <v>306</v>
      </c>
      <c r="G31" s="13" t="s">
        <v>46</v>
      </c>
      <c r="H31" s="4">
        <v>10387000</v>
      </c>
      <c r="I31" t="s">
        <v>21</v>
      </c>
    </row>
    <row r="32" spans="1:9" x14ac:dyDescent="0.25">
      <c r="A32">
        <v>6169200</v>
      </c>
      <c r="B32" t="s">
        <v>18</v>
      </c>
      <c r="C32" t="s">
        <v>627</v>
      </c>
      <c r="D32" s="1">
        <v>45657</v>
      </c>
      <c r="E32" s="1">
        <v>45657</v>
      </c>
      <c r="F32" t="s">
        <v>307</v>
      </c>
      <c r="G32" s="2" t="s">
        <v>47</v>
      </c>
      <c r="H32" s="4">
        <v>4260000</v>
      </c>
      <c r="I32" t="s">
        <v>21</v>
      </c>
    </row>
    <row r="33" spans="1:9" x14ac:dyDescent="0.25">
      <c r="A33">
        <v>6169201</v>
      </c>
      <c r="B33" t="s">
        <v>18</v>
      </c>
      <c r="C33" t="s">
        <v>627</v>
      </c>
      <c r="D33" s="1">
        <v>45657</v>
      </c>
      <c r="E33" s="1">
        <v>45657</v>
      </c>
      <c r="F33" t="s">
        <v>308</v>
      </c>
      <c r="G33" s="14" t="s">
        <v>24</v>
      </c>
      <c r="H33" s="4">
        <v>0</v>
      </c>
      <c r="I33" t="s">
        <v>21</v>
      </c>
    </row>
    <row r="34" spans="1:9" x14ac:dyDescent="0.25">
      <c r="A34">
        <v>6169202</v>
      </c>
      <c r="B34" t="s">
        <v>18</v>
      </c>
      <c r="C34" t="s">
        <v>627</v>
      </c>
      <c r="D34" s="1">
        <v>45657</v>
      </c>
      <c r="E34" s="1">
        <v>45657</v>
      </c>
      <c r="F34" t="s">
        <v>309</v>
      </c>
      <c r="G34" s="15" t="s">
        <v>26</v>
      </c>
      <c r="H34" s="4">
        <v>0</v>
      </c>
      <c r="I34" t="s">
        <v>21</v>
      </c>
    </row>
    <row r="35" spans="1:9" x14ac:dyDescent="0.25">
      <c r="A35">
        <v>6169203</v>
      </c>
      <c r="B35" t="s">
        <v>18</v>
      </c>
      <c r="C35" t="s">
        <v>627</v>
      </c>
      <c r="D35" s="1">
        <v>45657</v>
      </c>
      <c r="E35" s="1">
        <v>45657</v>
      </c>
      <c r="F35" t="s">
        <v>310</v>
      </c>
      <c r="G35" s="14" t="s">
        <v>29</v>
      </c>
      <c r="H35" s="4">
        <v>0</v>
      </c>
      <c r="I35" t="s">
        <v>21</v>
      </c>
    </row>
    <row r="36" spans="1:9" x14ac:dyDescent="0.25">
      <c r="A36">
        <v>6169204</v>
      </c>
      <c r="B36" t="s">
        <v>18</v>
      </c>
      <c r="C36" t="s">
        <v>627</v>
      </c>
      <c r="D36" s="1">
        <v>45657</v>
      </c>
      <c r="E36" s="1">
        <v>45657</v>
      </c>
      <c r="F36" t="s">
        <v>311</v>
      </c>
      <c r="G36" s="14" t="s">
        <v>30</v>
      </c>
      <c r="H36" s="4">
        <v>0</v>
      </c>
      <c r="I36" t="s">
        <v>21</v>
      </c>
    </row>
    <row r="37" spans="1:9" x14ac:dyDescent="0.25">
      <c r="A37">
        <v>6169205</v>
      </c>
      <c r="B37" t="s">
        <v>18</v>
      </c>
      <c r="C37" t="s">
        <v>627</v>
      </c>
      <c r="D37" s="1">
        <v>45657</v>
      </c>
      <c r="E37" s="1">
        <v>45657</v>
      </c>
      <c r="F37" t="s">
        <v>312</v>
      </c>
      <c r="G37" s="15" t="s">
        <v>32</v>
      </c>
      <c r="H37" s="4">
        <v>0</v>
      </c>
      <c r="I37" t="s">
        <v>21</v>
      </c>
    </row>
    <row r="38" spans="1:9" x14ac:dyDescent="0.25">
      <c r="A38">
        <v>6169206</v>
      </c>
      <c r="B38" t="s">
        <v>18</v>
      </c>
      <c r="C38" t="s">
        <v>627</v>
      </c>
      <c r="D38" s="1">
        <v>45657</v>
      </c>
      <c r="E38" s="1">
        <v>45657</v>
      </c>
      <c r="F38" t="s">
        <v>313</v>
      </c>
      <c r="G38" s="15" t="s">
        <v>33</v>
      </c>
      <c r="H38" s="4">
        <v>0</v>
      </c>
      <c r="I38" t="s">
        <v>21</v>
      </c>
    </row>
    <row r="39" spans="1:9" x14ac:dyDescent="0.25">
      <c r="A39">
        <v>6169207</v>
      </c>
      <c r="B39" t="s">
        <v>18</v>
      </c>
      <c r="C39" t="s">
        <v>627</v>
      </c>
      <c r="D39" s="1">
        <v>45657</v>
      </c>
      <c r="E39" s="1">
        <v>45657</v>
      </c>
      <c r="F39" t="s">
        <v>314</v>
      </c>
      <c r="G39" s="14" t="s">
        <v>31</v>
      </c>
      <c r="H39" s="4">
        <v>0</v>
      </c>
      <c r="I39" t="s">
        <v>21</v>
      </c>
    </row>
    <row r="40" spans="1:9" x14ac:dyDescent="0.25">
      <c r="A40">
        <v>6169208</v>
      </c>
      <c r="B40" t="s">
        <v>18</v>
      </c>
      <c r="C40" t="s">
        <v>627</v>
      </c>
      <c r="D40" s="1">
        <v>45657</v>
      </c>
      <c r="E40" s="1">
        <v>45657</v>
      </c>
      <c r="F40" t="s">
        <v>315</v>
      </c>
      <c r="G40" s="15" t="s">
        <v>32</v>
      </c>
      <c r="H40" s="4">
        <v>0</v>
      </c>
      <c r="I40" t="s">
        <v>21</v>
      </c>
    </row>
    <row r="41" spans="1:9" x14ac:dyDescent="0.25">
      <c r="A41">
        <v>6169209</v>
      </c>
      <c r="B41" t="s">
        <v>18</v>
      </c>
      <c r="C41" t="s">
        <v>627</v>
      </c>
      <c r="D41" s="1">
        <v>45657</v>
      </c>
      <c r="E41" s="1">
        <v>45657</v>
      </c>
      <c r="F41" t="s">
        <v>316</v>
      </c>
      <c r="G41" s="15" t="s">
        <v>33</v>
      </c>
      <c r="H41" s="4">
        <v>0</v>
      </c>
      <c r="I41" t="s">
        <v>21</v>
      </c>
    </row>
    <row r="42" spans="1:9" x14ac:dyDescent="0.25">
      <c r="A42">
        <v>6169210</v>
      </c>
      <c r="B42" t="s">
        <v>18</v>
      </c>
      <c r="C42" t="s">
        <v>627</v>
      </c>
      <c r="D42" s="1">
        <v>45657</v>
      </c>
      <c r="E42" s="1">
        <v>45657</v>
      </c>
      <c r="F42" t="s">
        <v>317</v>
      </c>
      <c r="G42" s="14" t="s">
        <v>34</v>
      </c>
      <c r="H42" s="4">
        <v>0</v>
      </c>
      <c r="I42" t="s">
        <v>21</v>
      </c>
    </row>
    <row r="43" spans="1:9" x14ac:dyDescent="0.25">
      <c r="A43">
        <v>6169211</v>
      </c>
      <c r="B43" t="s">
        <v>18</v>
      </c>
      <c r="C43" t="s">
        <v>627</v>
      </c>
      <c r="D43" s="1">
        <v>45657</v>
      </c>
      <c r="E43" s="1">
        <v>45657</v>
      </c>
      <c r="F43" t="s">
        <v>318</v>
      </c>
      <c r="G43" s="15" t="s">
        <v>48</v>
      </c>
      <c r="H43" s="4">
        <v>0</v>
      </c>
      <c r="I43" t="s">
        <v>21</v>
      </c>
    </row>
    <row r="44" spans="1:9" x14ac:dyDescent="0.25">
      <c r="A44">
        <v>6169212</v>
      </c>
      <c r="B44" t="s">
        <v>18</v>
      </c>
      <c r="C44" t="s">
        <v>627</v>
      </c>
      <c r="D44" s="1">
        <v>45657</v>
      </c>
      <c r="E44" s="1">
        <v>45657</v>
      </c>
      <c r="F44" t="s">
        <v>319</v>
      </c>
      <c r="G44" s="15" t="s">
        <v>49</v>
      </c>
      <c r="H44" s="4">
        <v>0</v>
      </c>
      <c r="I44" t="s">
        <v>21</v>
      </c>
    </row>
    <row r="45" spans="1:9" x14ac:dyDescent="0.25">
      <c r="A45">
        <v>6169213</v>
      </c>
      <c r="B45" t="s">
        <v>18</v>
      </c>
      <c r="C45" t="s">
        <v>627</v>
      </c>
      <c r="D45" s="1">
        <v>45657</v>
      </c>
      <c r="E45" s="1">
        <v>45657</v>
      </c>
      <c r="F45" t="s">
        <v>320</v>
      </c>
      <c r="G45" s="15" t="s">
        <v>50</v>
      </c>
      <c r="H45" s="4">
        <v>0</v>
      </c>
      <c r="I45" t="s">
        <v>21</v>
      </c>
    </row>
    <row r="46" spans="1:9" x14ac:dyDescent="0.25">
      <c r="A46">
        <v>6169214</v>
      </c>
      <c r="B46" t="s">
        <v>18</v>
      </c>
      <c r="C46" t="s">
        <v>627</v>
      </c>
      <c r="D46" s="1">
        <v>45657</v>
      </c>
      <c r="E46" s="1">
        <v>45657</v>
      </c>
      <c r="F46" t="s">
        <v>321</v>
      </c>
      <c r="G46" s="14" t="s">
        <v>35</v>
      </c>
      <c r="H46" s="4">
        <v>0</v>
      </c>
      <c r="I46" t="s">
        <v>21</v>
      </c>
    </row>
    <row r="47" spans="1:9" x14ac:dyDescent="0.25">
      <c r="A47">
        <v>6169215</v>
      </c>
      <c r="B47" t="s">
        <v>18</v>
      </c>
      <c r="C47" t="s">
        <v>627</v>
      </c>
      <c r="D47" s="1">
        <v>45657</v>
      </c>
      <c r="E47" s="1">
        <v>45657</v>
      </c>
      <c r="F47" t="s">
        <v>322</v>
      </c>
      <c r="G47" s="14" t="s">
        <v>51</v>
      </c>
      <c r="H47" s="4">
        <v>134000</v>
      </c>
      <c r="I47" t="s">
        <v>21</v>
      </c>
    </row>
    <row r="48" spans="1:9" x14ac:dyDescent="0.25">
      <c r="A48">
        <v>6169216</v>
      </c>
      <c r="B48" t="s">
        <v>18</v>
      </c>
      <c r="C48" t="s">
        <v>627</v>
      </c>
      <c r="D48" s="1">
        <v>45657</v>
      </c>
      <c r="E48" s="1">
        <v>45657</v>
      </c>
      <c r="F48" t="s">
        <v>323</v>
      </c>
      <c r="G48" s="15" t="s">
        <v>52</v>
      </c>
      <c r="H48" s="4">
        <v>134000</v>
      </c>
      <c r="I48" t="s">
        <v>21</v>
      </c>
    </row>
    <row r="49" spans="1:9" x14ac:dyDescent="0.25">
      <c r="A49">
        <v>6169217</v>
      </c>
      <c r="B49" t="s">
        <v>18</v>
      </c>
      <c r="C49" t="s">
        <v>627</v>
      </c>
      <c r="D49" s="1">
        <v>45657</v>
      </c>
      <c r="E49" s="1">
        <v>45657</v>
      </c>
      <c r="F49" t="s">
        <v>324</v>
      </c>
      <c r="G49" s="14" t="s">
        <v>40</v>
      </c>
      <c r="H49" s="4">
        <v>0</v>
      </c>
      <c r="I49" t="s">
        <v>21</v>
      </c>
    </row>
    <row r="50" spans="1:9" x14ac:dyDescent="0.25">
      <c r="A50">
        <v>6169218</v>
      </c>
      <c r="B50" t="s">
        <v>18</v>
      </c>
      <c r="C50" t="s">
        <v>627</v>
      </c>
      <c r="D50" s="1">
        <v>45657</v>
      </c>
      <c r="E50" s="1">
        <v>45657</v>
      </c>
      <c r="F50" t="s">
        <v>325</v>
      </c>
      <c r="G50" s="14" t="s">
        <v>53</v>
      </c>
      <c r="H50" s="4">
        <v>0</v>
      </c>
      <c r="I50" t="s">
        <v>21</v>
      </c>
    </row>
    <row r="51" spans="1:9" x14ac:dyDescent="0.25">
      <c r="A51">
        <v>6169219</v>
      </c>
      <c r="B51" t="s">
        <v>18</v>
      </c>
      <c r="C51" t="s">
        <v>627</v>
      </c>
      <c r="D51" s="1">
        <v>45657</v>
      </c>
      <c r="E51" s="1">
        <v>45657</v>
      </c>
      <c r="F51" t="s">
        <v>326</v>
      </c>
      <c r="G51" s="15" t="s">
        <v>54</v>
      </c>
      <c r="H51" s="4">
        <v>0</v>
      </c>
      <c r="I51" t="s">
        <v>21</v>
      </c>
    </row>
    <row r="52" spans="1:9" x14ac:dyDescent="0.25">
      <c r="A52">
        <v>6169220</v>
      </c>
      <c r="B52" t="s">
        <v>18</v>
      </c>
      <c r="C52" t="s">
        <v>627</v>
      </c>
      <c r="D52" s="1">
        <v>45657</v>
      </c>
      <c r="E52" s="1">
        <v>45657</v>
      </c>
      <c r="F52" t="s">
        <v>327</v>
      </c>
      <c r="G52" s="15" t="s">
        <v>55</v>
      </c>
      <c r="H52" s="4">
        <v>0</v>
      </c>
      <c r="I52" t="s">
        <v>21</v>
      </c>
    </row>
    <row r="53" spans="1:9" x14ac:dyDescent="0.25">
      <c r="A53">
        <v>6169221</v>
      </c>
      <c r="B53" t="s">
        <v>18</v>
      </c>
      <c r="C53" t="s">
        <v>627</v>
      </c>
      <c r="D53" s="1">
        <v>45657</v>
      </c>
      <c r="E53" s="1">
        <v>45657</v>
      </c>
      <c r="F53" t="s">
        <v>328</v>
      </c>
      <c r="G53" s="15" t="s">
        <v>56</v>
      </c>
      <c r="H53" s="4">
        <v>0</v>
      </c>
      <c r="I53" t="s">
        <v>21</v>
      </c>
    </row>
    <row r="54" spans="1:9" x14ac:dyDescent="0.25">
      <c r="A54">
        <v>6169222</v>
      </c>
      <c r="B54" t="s">
        <v>18</v>
      </c>
      <c r="C54" t="s">
        <v>627</v>
      </c>
      <c r="D54" s="1">
        <v>45657</v>
      </c>
      <c r="E54" s="1">
        <v>45657</v>
      </c>
      <c r="F54" t="s">
        <v>329</v>
      </c>
      <c r="G54" s="15" t="s">
        <v>57</v>
      </c>
      <c r="H54" s="4">
        <v>0</v>
      </c>
      <c r="I54" t="s">
        <v>21</v>
      </c>
    </row>
    <row r="55" spans="1:9" x14ac:dyDescent="0.25">
      <c r="A55">
        <v>6169223</v>
      </c>
      <c r="B55" t="s">
        <v>18</v>
      </c>
      <c r="C55" t="s">
        <v>627</v>
      </c>
      <c r="D55" s="1">
        <v>45657</v>
      </c>
      <c r="E55" s="1">
        <v>45657</v>
      </c>
      <c r="F55" t="s">
        <v>330</v>
      </c>
      <c r="G55" s="14" t="s">
        <v>50</v>
      </c>
      <c r="H55" s="4">
        <v>4126000</v>
      </c>
      <c r="I55" t="s">
        <v>21</v>
      </c>
    </row>
    <row r="56" spans="1:9" x14ac:dyDescent="0.25">
      <c r="A56">
        <v>6169224</v>
      </c>
      <c r="B56" t="s">
        <v>18</v>
      </c>
      <c r="C56" t="s">
        <v>627</v>
      </c>
      <c r="D56" s="1">
        <v>45657</v>
      </c>
      <c r="E56" s="1">
        <v>45657</v>
      </c>
      <c r="F56" t="s">
        <v>331</v>
      </c>
      <c r="G56" s="15" t="s">
        <v>42</v>
      </c>
      <c r="H56" s="4">
        <v>0</v>
      </c>
      <c r="I56" t="s">
        <v>21</v>
      </c>
    </row>
    <row r="57" spans="1:9" x14ac:dyDescent="0.25">
      <c r="A57">
        <v>6169225</v>
      </c>
      <c r="B57" t="s">
        <v>18</v>
      </c>
      <c r="C57" t="s">
        <v>627</v>
      </c>
      <c r="D57" s="1">
        <v>45657</v>
      </c>
      <c r="E57" s="1">
        <v>45657</v>
      </c>
      <c r="F57" t="s">
        <v>332</v>
      </c>
      <c r="G57" s="15" t="s">
        <v>43</v>
      </c>
      <c r="H57" s="4">
        <v>0</v>
      </c>
      <c r="I57" t="s">
        <v>21</v>
      </c>
    </row>
    <row r="58" spans="1:9" x14ac:dyDescent="0.25">
      <c r="A58">
        <v>6169226</v>
      </c>
      <c r="B58" t="s">
        <v>18</v>
      </c>
      <c r="C58" t="s">
        <v>627</v>
      </c>
      <c r="D58" s="1">
        <v>45657</v>
      </c>
      <c r="E58" s="1">
        <v>45657</v>
      </c>
      <c r="F58" t="s">
        <v>333</v>
      </c>
      <c r="G58" s="15" t="s">
        <v>48</v>
      </c>
      <c r="H58" s="4">
        <v>762000</v>
      </c>
      <c r="I58" t="s">
        <v>21</v>
      </c>
    </row>
    <row r="59" spans="1:9" x14ac:dyDescent="0.25">
      <c r="A59">
        <v>6169227</v>
      </c>
      <c r="B59" t="s">
        <v>18</v>
      </c>
      <c r="C59" t="s">
        <v>627</v>
      </c>
      <c r="D59" s="1">
        <v>45657</v>
      </c>
      <c r="E59" s="1">
        <v>45657</v>
      </c>
      <c r="F59" t="s">
        <v>334</v>
      </c>
      <c r="G59" s="15" t="s">
        <v>49</v>
      </c>
      <c r="H59" s="4">
        <v>3056000</v>
      </c>
      <c r="I59" t="s">
        <v>21</v>
      </c>
    </row>
    <row r="60" spans="1:9" x14ac:dyDescent="0.25">
      <c r="A60">
        <v>6169228</v>
      </c>
      <c r="B60" t="s">
        <v>18</v>
      </c>
      <c r="C60" t="s">
        <v>627</v>
      </c>
      <c r="D60" s="1">
        <v>45657</v>
      </c>
      <c r="E60" s="1">
        <v>45657</v>
      </c>
      <c r="F60" t="s">
        <v>335</v>
      </c>
      <c r="G60" s="15" t="s">
        <v>50</v>
      </c>
      <c r="H60" s="4">
        <v>10000</v>
      </c>
      <c r="I60" t="s">
        <v>21</v>
      </c>
    </row>
    <row r="61" spans="1:9" x14ac:dyDescent="0.25">
      <c r="A61">
        <v>6169229</v>
      </c>
      <c r="B61" t="s">
        <v>18</v>
      </c>
      <c r="C61" t="s">
        <v>627</v>
      </c>
      <c r="D61" s="1">
        <v>45657</v>
      </c>
      <c r="E61" s="1">
        <v>45657</v>
      </c>
      <c r="F61" t="s">
        <v>336</v>
      </c>
      <c r="G61" s="15" t="s">
        <v>45</v>
      </c>
      <c r="H61" s="4">
        <v>0</v>
      </c>
      <c r="I61" t="s">
        <v>21</v>
      </c>
    </row>
    <row r="62" spans="1:9" x14ac:dyDescent="0.25">
      <c r="A62">
        <v>6169230</v>
      </c>
      <c r="B62" t="s">
        <v>18</v>
      </c>
      <c r="C62" t="s">
        <v>627</v>
      </c>
      <c r="D62" s="1">
        <v>45657</v>
      </c>
      <c r="E62" s="1">
        <v>45657</v>
      </c>
      <c r="F62" t="s">
        <v>337</v>
      </c>
      <c r="G62" s="15" t="s">
        <v>39</v>
      </c>
      <c r="H62" s="4">
        <v>298000</v>
      </c>
      <c r="I62" t="s">
        <v>21</v>
      </c>
    </row>
    <row r="63" spans="1:9" x14ac:dyDescent="0.25">
      <c r="A63">
        <v>6169231</v>
      </c>
      <c r="B63" t="s">
        <v>18</v>
      </c>
      <c r="C63" t="s">
        <v>627</v>
      </c>
      <c r="D63" s="1">
        <v>45657</v>
      </c>
      <c r="E63" s="1">
        <v>45657</v>
      </c>
      <c r="F63" t="s">
        <v>338</v>
      </c>
      <c r="G63" s="2" t="s">
        <v>58</v>
      </c>
      <c r="H63" s="4">
        <v>30000</v>
      </c>
      <c r="I63" t="s">
        <v>21</v>
      </c>
    </row>
    <row r="64" spans="1:9" x14ac:dyDescent="0.25">
      <c r="A64">
        <v>6169232</v>
      </c>
      <c r="B64" t="s">
        <v>18</v>
      </c>
      <c r="C64" t="s">
        <v>627</v>
      </c>
      <c r="D64" s="1">
        <v>45657</v>
      </c>
      <c r="E64" s="1">
        <v>45657</v>
      </c>
      <c r="F64" t="s">
        <v>339</v>
      </c>
      <c r="G64" s="14" t="s">
        <v>59</v>
      </c>
      <c r="H64" s="4">
        <v>30000</v>
      </c>
      <c r="I64" t="s">
        <v>21</v>
      </c>
    </row>
    <row r="65" spans="1:9" x14ac:dyDescent="0.25">
      <c r="A65">
        <v>6169233</v>
      </c>
      <c r="B65" t="s">
        <v>18</v>
      </c>
      <c r="C65" t="s">
        <v>627</v>
      </c>
      <c r="D65" s="1">
        <v>45657</v>
      </c>
      <c r="E65" s="1">
        <v>45657</v>
      </c>
      <c r="F65" t="s">
        <v>340</v>
      </c>
      <c r="G65" s="15" t="s">
        <v>60</v>
      </c>
      <c r="H65" s="4">
        <v>30000</v>
      </c>
      <c r="I65" t="s">
        <v>21</v>
      </c>
    </row>
    <row r="66" spans="1:9" x14ac:dyDescent="0.25">
      <c r="A66">
        <v>6169234</v>
      </c>
      <c r="B66" t="s">
        <v>18</v>
      </c>
      <c r="C66" t="s">
        <v>627</v>
      </c>
      <c r="D66" s="1">
        <v>45657</v>
      </c>
      <c r="E66" s="1">
        <v>45657</v>
      </c>
      <c r="F66" t="s">
        <v>341</v>
      </c>
      <c r="G66" s="15" t="s">
        <v>61</v>
      </c>
      <c r="H66" s="4">
        <v>0</v>
      </c>
      <c r="I66" t="s">
        <v>21</v>
      </c>
    </row>
    <row r="67" spans="1:9" x14ac:dyDescent="0.25">
      <c r="A67">
        <v>6169235</v>
      </c>
      <c r="B67" t="s">
        <v>18</v>
      </c>
      <c r="C67" t="s">
        <v>627</v>
      </c>
      <c r="D67" s="1">
        <v>45657</v>
      </c>
      <c r="E67" s="1">
        <v>45657</v>
      </c>
      <c r="F67" t="s">
        <v>342</v>
      </c>
      <c r="G67" s="15" t="s">
        <v>62</v>
      </c>
      <c r="H67" s="4">
        <v>0</v>
      </c>
      <c r="I67" t="s">
        <v>21</v>
      </c>
    </row>
    <row r="68" spans="1:9" x14ac:dyDescent="0.25">
      <c r="A68">
        <v>6169236</v>
      </c>
      <c r="B68" t="s">
        <v>18</v>
      </c>
      <c r="C68" t="s">
        <v>627</v>
      </c>
      <c r="D68" s="1">
        <v>45657</v>
      </c>
      <c r="E68" s="1">
        <v>45657</v>
      </c>
      <c r="F68" t="s">
        <v>343</v>
      </c>
      <c r="G68" s="14" t="s">
        <v>63</v>
      </c>
      <c r="H68" s="4">
        <v>0</v>
      </c>
      <c r="I68" t="s">
        <v>21</v>
      </c>
    </row>
    <row r="69" spans="1:9" x14ac:dyDescent="0.25">
      <c r="A69">
        <v>6169237</v>
      </c>
      <c r="B69" t="s">
        <v>18</v>
      </c>
      <c r="C69" t="s">
        <v>627</v>
      </c>
      <c r="D69" s="1">
        <v>45657</v>
      </c>
      <c r="E69" s="1">
        <v>45657</v>
      </c>
      <c r="F69" t="s">
        <v>344</v>
      </c>
      <c r="G69" s="2" t="s">
        <v>64</v>
      </c>
      <c r="H69" s="4">
        <v>5354000</v>
      </c>
      <c r="I69" t="s">
        <v>21</v>
      </c>
    </row>
    <row r="70" spans="1:9" x14ac:dyDescent="0.25">
      <c r="A70">
        <v>6169238</v>
      </c>
      <c r="B70" t="s">
        <v>18</v>
      </c>
      <c r="C70" t="s">
        <v>627</v>
      </c>
      <c r="D70" s="1">
        <v>45657</v>
      </c>
      <c r="E70" s="1">
        <v>45657</v>
      </c>
      <c r="F70" t="s">
        <v>345</v>
      </c>
      <c r="G70" s="14" t="s">
        <v>65</v>
      </c>
      <c r="H70" s="4">
        <v>2045000</v>
      </c>
      <c r="I70" t="s">
        <v>21</v>
      </c>
    </row>
    <row r="71" spans="1:9" x14ac:dyDescent="0.25">
      <c r="A71">
        <v>6169239</v>
      </c>
      <c r="B71" t="s">
        <v>18</v>
      </c>
      <c r="C71" t="s">
        <v>627</v>
      </c>
      <c r="D71" s="1">
        <v>45657</v>
      </c>
      <c r="E71" s="1">
        <v>45657</v>
      </c>
      <c r="F71" t="s">
        <v>346</v>
      </c>
      <c r="G71" s="14" t="s">
        <v>66</v>
      </c>
      <c r="H71" s="4">
        <v>3309000</v>
      </c>
      <c r="I71" t="s">
        <v>21</v>
      </c>
    </row>
    <row r="72" spans="1:9" x14ac:dyDescent="0.25">
      <c r="A72">
        <v>6169240</v>
      </c>
      <c r="B72" t="s">
        <v>18</v>
      </c>
      <c r="C72" t="s">
        <v>627</v>
      </c>
      <c r="D72" s="1">
        <v>45657</v>
      </c>
      <c r="E72" s="1">
        <v>45657</v>
      </c>
      <c r="F72" t="s">
        <v>347</v>
      </c>
      <c r="G72" s="15" t="s">
        <v>67</v>
      </c>
      <c r="H72" s="4">
        <v>3309000</v>
      </c>
      <c r="I72" t="s">
        <v>21</v>
      </c>
    </row>
    <row r="73" spans="1:9" x14ac:dyDescent="0.25">
      <c r="A73">
        <v>6169241</v>
      </c>
      <c r="B73" t="s">
        <v>18</v>
      </c>
      <c r="C73" t="s">
        <v>627</v>
      </c>
      <c r="D73" s="1">
        <v>45657</v>
      </c>
      <c r="E73" s="1">
        <v>45657</v>
      </c>
      <c r="F73" t="s">
        <v>348</v>
      </c>
      <c r="G73" s="14" t="s">
        <v>68</v>
      </c>
      <c r="H73" s="4">
        <v>0</v>
      </c>
      <c r="I73" t="s">
        <v>21</v>
      </c>
    </row>
    <row r="74" spans="1:9" x14ac:dyDescent="0.25">
      <c r="A74">
        <v>6169242</v>
      </c>
      <c r="B74" t="s">
        <v>18</v>
      </c>
      <c r="C74" t="s">
        <v>627</v>
      </c>
      <c r="D74" s="1">
        <v>45657</v>
      </c>
      <c r="E74" s="1">
        <v>45657</v>
      </c>
      <c r="F74" t="s">
        <v>349</v>
      </c>
      <c r="G74" s="2" t="s">
        <v>69</v>
      </c>
      <c r="H74" s="4">
        <v>743000</v>
      </c>
      <c r="I74" t="s">
        <v>21</v>
      </c>
    </row>
    <row r="75" spans="1:9" x14ac:dyDescent="0.25">
      <c r="A75">
        <v>6169243</v>
      </c>
      <c r="B75" t="s">
        <v>18</v>
      </c>
      <c r="C75" t="s">
        <v>627</v>
      </c>
      <c r="D75" s="1">
        <v>45657</v>
      </c>
      <c r="E75" s="1">
        <v>45657</v>
      </c>
      <c r="F75" t="s">
        <v>350</v>
      </c>
      <c r="G75" s="14" t="s">
        <v>70</v>
      </c>
      <c r="H75" s="4">
        <v>743000</v>
      </c>
      <c r="I75" t="s">
        <v>21</v>
      </c>
    </row>
    <row r="76" spans="1:9" x14ac:dyDescent="0.25">
      <c r="A76">
        <v>6169244</v>
      </c>
      <c r="B76" t="s">
        <v>18</v>
      </c>
      <c r="C76" t="s">
        <v>627</v>
      </c>
      <c r="D76" s="1">
        <v>45657</v>
      </c>
      <c r="E76" s="1">
        <v>45657</v>
      </c>
      <c r="F76" t="s">
        <v>351</v>
      </c>
      <c r="G76" s="15" t="s">
        <v>71</v>
      </c>
      <c r="H76" s="4">
        <v>0</v>
      </c>
      <c r="I76" t="s">
        <v>21</v>
      </c>
    </row>
    <row r="77" spans="1:9" x14ac:dyDescent="0.25">
      <c r="A77">
        <v>6169245</v>
      </c>
      <c r="B77" t="s">
        <v>18</v>
      </c>
      <c r="C77" t="s">
        <v>627</v>
      </c>
      <c r="D77" s="1">
        <v>45657</v>
      </c>
      <c r="E77" s="1">
        <v>45657</v>
      </c>
      <c r="F77" t="s">
        <v>352</v>
      </c>
      <c r="G77" s="14" t="s">
        <v>72</v>
      </c>
      <c r="H77" s="4">
        <v>0</v>
      </c>
      <c r="I77" t="s">
        <v>21</v>
      </c>
    </row>
    <row r="78" spans="1:9" ht="15.75" x14ac:dyDescent="0.25">
      <c r="A78">
        <v>6169246</v>
      </c>
      <c r="B78" t="s">
        <v>18</v>
      </c>
      <c r="C78" t="s">
        <v>627</v>
      </c>
      <c r="D78" s="1">
        <v>45657</v>
      </c>
      <c r="E78" s="1">
        <v>45657</v>
      </c>
      <c r="F78" t="s">
        <v>353</v>
      </c>
      <c r="G78" s="12" t="s">
        <v>73</v>
      </c>
      <c r="H78" s="4">
        <v>17465000</v>
      </c>
      <c r="I78" t="s">
        <v>21</v>
      </c>
    </row>
    <row r="79" spans="1:9" x14ac:dyDescent="0.25">
      <c r="A79">
        <v>6169247</v>
      </c>
      <c r="B79" t="s">
        <v>18</v>
      </c>
      <c r="C79" t="s">
        <v>627</v>
      </c>
      <c r="D79" s="1">
        <v>45657</v>
      </c>
      <c r="E79" s="1">
        <v>45657</v>
      </c>
      <c r="F79" t="s">
        <v>354</v>
      </c>
      <c r="G79" s="13" t="s">
        <v>3</v>
      </c>
      <c r="H79" s="4">
        <v>4382000</v>
      </c>
      <c r="I79" t="s">
        <v>21</v>
      </c>
    </row>
    <row r="80" spans="1:9" x14ac:dyDescent="0.25">
      <c r="A80">
        <v>6169248</v>
      </c>
      <c r="B80" t="s">
        <v>18</v>
      </c>
      <c r="C80" t="s">
        <v>627</v>
      </c>
      <c r="D80" s="1">
        <v>45657</v>
      </c>
      <c r="E80" s="1">
        <v>45657</v>
      </c>
      <c r="F80" t="s">
        <v>355</v>
      </c>
      <c r="G80" s="2" t="s">
        <v>74</v>
      </c>
      <c r="H80" s="4">
        <v>333000</v>
      </c>
      <c r="I80" t="s">
        <v>21</v>
      </c>
    </row>
    <row r="81" spans="1:9" x14ac:dyDescent="0.25">
      <c r="A81">
        <v>6169249</v>
      </c>
      <c r="B81" t="s">
        <v>18</v>
      </c>
      <c r="C81" t="s">
        <v>627</v>
      </c>
      <c r="D81" s="1">
        <v>45657</v>
      </c>
      <c r="E81" s="1">
        <v>45657</v>
      </c>
      <c r="F81" t="s">
        <v>356</v>
      </c>
      <c r="G81" s="14" t="s">
        <v>75</v>
      </c>
      <c r="H81" s="4">
        <v>0</v>
      </c>
      <c r="I81" t="s">
        <v>21</v>
      </c>
    </row>
    <row r="82" spans="1:9" x14ac:dyDescent="0.25">
      <c r="A82">
        <v>6169250</v>
      </c>
      <c r="B82" t="s">
        <v>18</v>
      </c>
      <c r="C82" t="s">
        <v>627</v>
      </c>
      <c r="D82" s="1">
        <v>45657</v>
      </c>
      <c r="E82" s="1">
        <v>45657</v>
      </c>
      <c r="F82" t="s">
        <v>357</v>
      </c>
      <c r="G82" s="14" t="s">
        <v>76</v>
      </c>
      <c r="H82" s="4">
        <v>333000</v>
      </c>
      <c r="I82" t="s">
        <v>21</v>
      </c>
    </row>
    <row r="83" spans="1:9" x14ac:dyDescent="0.25">
      <c r="A83">
        <v>6169251</v>
      </c>
      <c r="B83" t="s">
        <v>18</v>
      </c>
      <c r="C83" t="s">
        <v>627</v>
      </c>
      <c r="D83" s="1">
        <v>45657</v>
      </c>
      <c r="E83" s="1">
        <v>45657</v>
      </c>
      <c r="F83" t="s">
        <v>358</v>
      </c>
      <c r="G83" s="15" t="s">
        <v>77</v>
      </c>
      <c r="H83" s="4">
        <v>333000</v>
      </c>
      <c r="I83" t="s">
        <v>21</v>
      </c>
    </row>
    <row r="84" spans="1:9" x14ac:dyDescent="0.25">
      <c r="A84">
        <v>6169252</v>
      </c>
      <c r="B84" t="s">
        <v>18</v>
      </c>
      <c r="C84" t="s">
        <v>627</v>
      </c>
      <c r="D84" s="1">
        <v>45657</v>
      </c>
      <c r="E84" s="1">
        <v>45657</v>
      </c>
      <c r="F84" t="s">
        <v>359</v>
      </c>
      <c r="G84" s="2" t="s">
        <v>78</v>
      </c>
      <c r="H84" s="4">
        <v>2190000</v>
      </c>
      <c r="I84" t="s">
        <v>21</v>
      </c>
    </row>
    <row r="85" spans="1:9" x14ac:dyDescent="0.25">
      <c r="A85">
        <v>6169253</v>
      </c>
      <c r="B85" t="s">
        <v>18</v>
      </c>
      <c r="C85" t="s">
        <v>627</v>
      </c>
      <c r="D85" s="1">
        <v>45657</v>
      </c>
      <c r="E85" s="1">
        <v>45657</v>
      </c>
      <c r="F85" t="s">
        <v>360</v>
      </c>
      <c r="G85" s="14" t="s">
        <v>79</v>
      </c>
      <c r="H85" s="4">
        <v>2190000</v>
      </c>
      <c r="I85" t="s">
        <v>21</v>
      </c>
    </row>
    <row r="86" spans="1:9" x14ac:dyDescent="0.25">
      <c r="A86">
        <v>6169254</v>
      </c>
      <c r="B86" t="s">
        <v>18</v>
      </c>
      <c r="C86" t="s">
        <v>627</v>
      </c>
      <c r="D86" s="1">
        <v>45657</v>
      </c>
      <c r="E86" s="1">
        <v>45657</v>
      </c>
      <c r="F86" t="s">
        <v>361</v>
      </c>
      <c r="G86" s="15" t="s">
        <v>79</v>
      </c>
      <c r="H86" s="4">
        <v>2190000</v>
      </c>
      <c r="I86" t="s">
        <v>21</v>
      </c>
    </row>
    <row r="87" spans="1:9" x14ac:dyDescent="0.25">
      <c r="A87">
        <v>6169255</v>
      </c>
      <c r="B87" t="s">
        <v>18</v>
      </c>
      <c r="C87" t="s">
        <v>627</v>
      </c>
      <c r="D87" s="1">
        <v>45657</v>
      </c>
      <c r="E87" s="1">
        <v>45657</v>
      </c>
      <c r="F87" t="s">
        <v>362</v>
      </c>
      <c r="G87" s="14" t="s">
        <v>80</v>
      </c>
      <c r="H87" s="4">
        <v>0</v>
      </c>
      <c r="I87" t="s">
        <v>21</v>
      </c>
    </row>
    <row r="88" spans="1:9" x14ac:dyDescent="0.25">
      <c r="A88">
        <v>6169256</v>
      </c>
      <c r="B88" t="s">
        <v>18</v>
      </c>
      <c r="C88" t="s">
        <v>627</v>
      </c>
      <c r="D88" s="1">
        <v>45657</v>
      </c>
      <c r="E88" s="1">
        <v>45657</v>
      </c>
      <c r="F88" t="s">
        <v>363</v>
      </c>
      <c r="G88" s="2" t="s">
        <v>81</v>
      </c>
      <c r="H88" s="4">
        <v>662000</v>
      </c>
      <c r="I88" t="s">
        <v>21</v>
      </c>
    </row>
    <row r="89" spans="1:9" x14ac:dyDescent="0.25">
      <c r="A89">
        <v>6169257</v>
      </c>
      <c r="B89" t="s">
        <v>18</v>
      </c>
      <c r="C89" t="s">
        <v>627</v>
      </c>
      <c r="D89" s="1">
        <v>45657</v>
      </c>
      <c r="E89" s="1">
        <v>45657</v>
      </c>
      <c r="F89" t="s">
        <v>364</v>
      </c>
      <c r="G89" s="14" t="s">
        <v>82</v>
      </c>
      <c r="H89" s="4">
        <v>85000</v>
      </c>
      <c r="I89" t="s">
        <v>21</v>
      </c>
    </row>
    <row r="90" spans="1:9" x14ac:dyDescent="0.25">
      <c r="A90">
        <v>6169258</v>
      </c>
      <c r="B90" t="s">
        <v>18</v>
      </c>
      <c r="C90" t="s">
        <v>627</v>
      </c>
      <c r="D90" s="1">
        <v>45657</v>
      </c>
      <c r="E90" s="1">
        <v>45657</v>
      </c>
      <c r="F90" t="s">
        <v>365</v>
      </c>
      <c r="G90" s="15" t="s">
        <v>83</v>
      </c>
      <c r="H90" s="4">
        <v>15000</v>
      </c>
      <c r="I90" t="s">
        <v>21</v>
      </c>
    </row>
    <row r="91" spans="1:9" x14ac:dyDescent="0.25">
      <c r="A91">
        <v>6169259</v>
      </c>
      <c r="B91" t="s">
        <v>18</v>
      </c>
      <c r="C91" t="s">
        <v>627</v>
      </c>
      <c r="D91" s="1">
        <v>45657</v>
      </c>
      <c r="E91" s="1">
        <v>45657</v>
      </c>
      <c r="F91" t="s">
        <v>366</v>
      </c>
      <c r="G91" s="15" t="s">
        <v>84</v>
      </c>
      <c r="H91" s="4">
        <v>5000</v>
      </c>
      <c r="I91" t="s">
        <v>21</v>
      </c>
    </row>
    <row r="92" spans="1:9" x14ac:dyDescent="0.25">
      <c r="A92">
        <v>6169260</v>
      </c>
      <c r="B92" t="s">
        <v>18</v>
      </c>
      <c r="C92" t="s">
        <v>627</v>
      </c>
      <c r="D92" s="1">
        <v>45657</v>
      </c>
      <c r="E92" s="1">
        <v>45657</v>
      </c>
      <c r="F92" t="s">
        <v>367</v>
      </c>
      <c r="G92" s="15" t="s">
        <v>85</v>
      </c>
      <c r="H92" s="4">
        <v>2000</v>
      </c>
      <c r="I92" t="s">
        <v>21</v>
      </c>
    </row>
    <row r="93" spans="1:9" x14ac:dyDescent="0.25">
      <c r="A93">
        <v>6169261</v>
      </c>
      <c r="B93" t="s">
        <v>18</v>
      </c>
      <c r="C93" t="s">
        <v>627</v>
      </c>
      <c r="D93" s="1">
        <v>45657</v>
      </c>
      <c r="E93" s="1">
        <v>45657</v>
      </c>
      <c r="F93" t="s">
        <v>368</v>
      </c>
      <c r="G93" s="15" t="s">
        <v>86</v>
      </c>
      <c r="H93" s="4">
        <v>49000</v>
      </c>
      <c r="I93" t="s">
        <v>21</v>
      </c>
    </row>
    <row r="94" spans="1:9" x14ac:dyDescent="0.25">
      <c r="A94">
        <v>6169262</v>
      </c>
      <c r="B94" t="s">
        <v>18</v>
      </c>
      <c r="C94" t="s">
        <v>627</v>
      </c>
      <c r="D94" s="1">
        <v>45657</v>
      </c>
      <c r="E94" s="1">
        <v>45657</v>
      </c>
      <c r="F94" t="s">
        <v>369</v>
      </c>
      <c r="G94" s="15" t="s">
        <v>44</v>
      </c>
      <c r="H94" s="4">
        <v>14000</v>
      </c>
      <c r="I94" t="s">
        <v>21</v>
      </c>
    </row>
    <row r="95" spans="1:9" x14ac:dyDescent="0.25">
      <c r="A95">
        <v>6169263</v>
      </c>
      <c r="B95" t="s">
        <v>18</v>
      </c>
      <c r="C95" t="s">
        <v>627</v>
      </c>
      <c r="D95" s="1">
        <v>45657</v>
      </c>
      <c r="E95" s="1">
        <v>45657</v>
      </c>
      <c r="F95" t="s">
        <v>371</v>
      </c>
      <c r="G95" s="15" t="s">
        <v>88</v>
      </c>
      <c r="H95" s="4">
        <v>564000</v>
      </c>
      <c r="I95" t="s">
        <v>21</v>
      </c>
    </row>
    <row r="96" spans="1:9" x14ac:dyDescent="0.25">
      <c r="A96">
        <v>6169264</v>
      </c>
      <c r="B96" t="s">
        <v>18</v>
      </c>
      <c r="C96" t="s">
        <v>627</v>
      </c>
      <c r="D96" s="1">
        <v>45657</v>
      </c>
      <c r="E96" s="1">
        <v>45657</v>
      </c>
      <c r="F96" t="s">
        <v>372</v>
      </c>
      <c r="G96" s="14" t="s">
        <v>89</v>
      </c>
      <c r="H96" s="4">
        <v>564000</v>
      </c>
      <c r="I96" t="s">
        <v>21</v>
      </c>
    </row>
    <row r="97" spans="1:9" x14ac:dyDescent="0.25">
      <c r="A97">
        <v>6169265</v>
      </c>
      <c r="B97" t="s">
        <v>18</v>
      </c>
      <c r="C97" t="s">
        <v>627</v>
      </c>
      <c r="D97" s="1">
        <v>45657</v>
      </c>
      <c r="E97" s="1">
        <v>45657</v>
      </c>
      <c r="F97" t="s">
        <v>374</v>
      </c>
      <c r="G97" s="15" t="s">
        <v>91</v>
      </c>
      <c r="H97" s="4">
        <v>13000</v>
      </c>
      <c r="I97" t="s">
        <v>21</v>
      </c>
    </row>
    <row r="98" spans="1:9" x14ac:dyDescent="0.25">
      <c r="A98">
        <v>6169266</v>
      </c>
      <c r="B98" t="s">
        <v>18</v>
      </c>
      <c r="C98" t="s">
        <v>627</v>
      </c>
      <c r="D98" s="1">
        <v>45657</v>
      </c>
      <c r="E98" s="1">
        <v>45657</v>
      </c>
      <c r="F98" t="s">
        <v>375</v>
      </c>
      <c r="G98" s="15" t="s">
        <v>92</v>
      </c>
      <c r="H98" s="4">
        <v>13000</v>
      </c>
      <c r="I98" t="s">
        <v>21</v>
      </c>
    </row>
    <row r="99" spans="1:9" x14ac:dyDescent="0.25">
      <c r="A99">
        <v>6169267</v>
      </c>
      <c r="B99" t="s">
        <v>18</v>
      </c>
      <c r="C99" t="s">
        <v>627</v>
      </c>
      <c r="D99" s="1">
        <v>45657</v>
      </c>
      <c r="E99" s="1">
        <v>45657</v>
      </c>
      <c r="F99" t="s">
        <v>376</v>
      </c>
      <c r="G99" s="14" t="s">
        <v>93</v>
      </c>
      <c r="H99" s="4">
        <v>49000</v>
      </c>
      <c r="I99" t="s">
        <v>21</v>
      </c>
    </row>
    <row r="100" spans="1:9" x14ac:dyDescent="0.25">
      <c r="A100">
        <v>6169268</v>
      </c>
      <c r="B100" t="s">
        <v>18</v>
      </c>
      <c r="C100" t="s">
        <v>627</v>
      </c>
      <c r="D100" s="1">
        <v>45657</v>
      </c>
      <c r="E100" s="1">
        <v>45657</v>
      </c>
      <c r="F100" t="s">
        <v>377</v>
      </c>
      <c r="G100" s="15" t="s">
        <v>93</v>
      </c>
      <c r="H100" s="4">
        <v>49000</v>
      </c>
      <c r="I100" t="s">
        <v>21</v>
      </c>
    </row>
    <row r="101" spans="1:9" x14ac:dyDescent="0.25">
      <c r="A101">
        <v>6169269</v>
      </c>
      <c r="B101" t="s">
        <v>18</v>
      </c>
      <c r="C101" t="s">
        <v>627</v>
      </c>
      <c r="D101" s="1">
        <v>45657</v>
      </c>
      <c r="E101" s="1">
        <v>45657</v>
      </c>
      <c r="F101" t="s">
        <v>378</v>
      </c>
      <c r="G101" s="2" t="s">
        <v>94</v>
      </c>
      <c r="H101" s="4">
        <v>49000</v>
      </c>
      <c r="I101" t="s">
        <v>21</v>
      </c>
    </row>
    <row r="102" spans="1:9" x14ac:dyDescent="0.25">
      <c r="A102">
        <v>6169270</v>
      </c>
      <c r="B102" t="s">
        <v>18</v>
      </c>
      <c r="C102" t="s">
        <v>627</v>
      </c>
      <c r="D102" s="1">
        <v>45657</v>
      </c>
      <c r="E102" s="1">
        <v>45657</v>
      </c>
      <c r="F102" t="s">
        <v>379</v>
      </c>
      <c r="G102" s="14" t="s">
        <v>95</v>
      </c>
      <c r="H102" s="4">
        <v>0</v>
      </c>
      <c r="I102" t="s">
        <v>21</v>
      </c>
    </row>
    <row r="103" spans="1:9" x14ac:dyDescent="0.25">
      <c r="A103">
        <v>6169271</v>
      </c>
      <c r="B103" t="s">
        <v>18</v>
      </c>
      <c r="C103" t="s">
        <v>627</v>
      </c>
      <c r="D103" s="1">
        <v>45657</v>
      </c>
      <c r="E103" s="1">
        <v>45657</v>
      </c>
      <c r="F103" t="s">
        <v>380</v>
      </c>
      <c r="G103" s="15" t="s">
        <v>96</v>
      </c>
      <c r="H103" s="4">
        <v>0</v>
      </c>
      <c r="I103" t="s">
        <v>21</v>
      </c>
    </row>
    <row r="104" spans="1:9" x14ac:dyDescent="0.25">
      <c r="A104">
        <v>6169272</v>
      </c>
      <c r="B104" t="s">
        <v>18</v>
      </c>
      <c r="C104" t="s">
        <v>627</v>
      </c>
      <c r="D104" s="1">
        <v>45657</v>
      </c>
      <c r="E104" s="1">
        <v>45657</v>
      </c>
      <c r="F104" t="s">
        <v>381</v>
      </c>
      <c r="G104" s="15" t="s">
        <v>96</v>
      </c>
      <c r="H104" s="4">
        <v>0</v>
      </c>
      <c r="I104" t="s">
        <v>21</v>
      </c>
    </row>
    <row r="105" spans="1:9" x14ac:dyDescent="0.25">
      <c r="A105">
        <v>6169273</v>
      </c>
      <c r="B105" t="s">
        <v>18</v>
      </c>
      <c r="C105" t="s">
        <v>627</v>
      </c>
      <c r="D105" s="1">
        <v>45657</v>
      </c>
      <c r="E105" s="1">
        <v>45657</v>
      </c>
      <c r="F105" t="s">
        <v>382</v>
      </c>
      <c r="G105" s="14" t="s">
        <v>97</v>
      </c>
      <c r="H105" s="4">
        <v>0</v>
      </c>
      <c r="I105" t="s">
        <v>21</v>
      </c>
    </row>
    <row r="106" spans="1:9" x14ac:dyDescent="0.25">
      <c r="A106">
        <v>6169274</v>
      </c>
      <c r="B106" t="s">
        <v>18</v>
      </c>
      <c r="C106" t="s">
        <v>627</v>
      </c>
      <c r="D106" s="1">
        <v>45657</v>
      </c>
      <c r="E106" s="1">
        <v>45657</v>
      </c>
      <c r="F106" t="s">
        <v>383</v>
      </c>
      <c r="G106" s="15" t="s">
        <v>98</v>
      </c>
      <c r="H106" s="4">
        <v>1012000</v>
      </c>
      <c r="I106" t="s">
        <v>21</v>
      </c>
    </row>
    <row r="107" spans="1:9" x14ac:dyDescent="0.25">
      <c r="A107">
        <v>6169275</v>
      </c>
      <c r="B107" t="s">
        <v>18</v>
      </c>
      <c r="C107" t="s">
        <v>627</v>
      </c>
      <c r="D107" s="1">
        <v>45657</v>
      </c>
      <c r="E107" s="1">
        <v>45657</v>
      </c>
      <c r="F107" t="s">
        <v>384</v>
      </c>
      <c r="G107" s="14" t="s">
        <v>99</v>
      </c>
      <c r="H107" s="4">
        <v>0</v>
      </c>
      <c r="I107" t="s">
        <v>21</v>
      </c>
    </row>
    <row r="108" spans="1:9" x14ac:dyDescent="0.25">
      <c r="A108">
        <v>6169276</v>
      </c>
      <c r="B108" t="s">
        <v>18</v>
      </c>
      <c r="C108" t="s">
        <v>627</v>
      </c>
      <c r="D108" s="1">
        <v>45657</v>
      </c>
      <c r="E108" s="1">
        <v>45657</v>
      </c>
      <c r="F108" t="s">
        <v>385</v>
      </c>
      <c r="G108" s="2" t="s">
        <v>100</v>
      </c>
      <c r="H108" s="4">
        <v>0</v>
      </c>
      <c r="I108" t="s">
        <v>21</v>
      </c>
    </row>
    <row r="109" spans="1:9" x14ac:dyDescent="0.25">
      <c r="A109">
        <v>6169277</v>
      </c>
      <c r="B109" t="s">
        <v>18</v>
      </c>
      <c r="C109" t="s">
        <v>627</v>
      </c>
      <c r="D109" s="1">
        <v>45657</v>
      </c>
      <c r="E109" s="1">
        <v>45657</v>
      </c>
      <c r="F109" t="s">
        <v>386</v>
      </c>
      <c r="G109" s="14" t="s">
        <v>101</v>
      </c>
      <c r="H109" s="4">
        <v>0</v>
      </c>
      <c r="I109" t="s">
        <v>21</v>
      </c>
    </row>
    <row r="110" spans="1:9" x14ac:dyDescent="0.25">
      <c r="A110">
        <v>6169278</v>
      </c>
      <c r="B110" t="s">
        <v>18</v>
      </c>
      <c r="C110" t="s">
        <v>627</v>
      </c>
      <c r="D110" s="1">
        <v>45657</v>
      </c>
      <c r="E110" s="1">
        <v>45657</v>
      </c>
      <c r="F110" t="s">
        <v>387</v>
      </c>
      <c r="G110" s="15" t="s">
        <v>102</v>
      </c>
      <c r="H110" s="4">
        <v>0</v>
      </c>
      <c r="I110" t="s">
        <v>21</v>
      </c>
    </row>
    <row r="111" spans="1:9" x14ac:dyDescent="0.25">
      <c r="A111">
        <v>6169279</v>
      </c>
      <c r="B111" t="s">
        <v>18</v>
      </c>
      <c r="C111" t="s">
        <v>627</v>
      </c>
      <c r="D111" s="1">
        <v>45657</v>
      </c>
      <c r="E111" s="1">
        <v>45657</v>
      </c>
      <c r="F111" t="s">
        <v>388</v>
      </c>
      <c r="G111" s="15" t="s">
        <v>44</v>
      </c>
      <c r="H111" s="4">
        <v>1012000</v>
      </c>
      <c r="I111" t="s">
        <v>21</v>
      </c>
    </row>
    <row r="112" spans="1:9" x14ac:dyDescent="0.25">
      <c r="A112">
        <v>6169280</v>
      </c>
      <c r="B112" t="s">
        <v>18</v>
      </c>
      <c r="C112" t="s">
        <v>627</v>
      </c>
      <c r="D112" s="1">
        <v>45657</v>
      </c>
      <c r="E112" s="1">
        <v>45657</v>
      </c>
      <c r="F112" t="s">
        <v>389</v>
      </c>
      <c r="G112" s="15" t="s">
        <v>103</v>
      </c>
      <c r="H112" s="4">
        <v>0</v>
      </c>
      <c r="I112" t="s">
        <v>21</v>
      </c>
    </row>
    <row r="113" spans="1:9" x14ac:dyDescent="0.25">
      <c r="A113">
        <v>6169281</v>
      </c>
      <c r="B113" t="s">
        <v>18</v>
      </c>
      <c r="C113" t="s">
        <v>627</v>
      </c>
      <c r="D113" s="1">
        <v>45657</v>
      </c>
      <c r="E113" s="1">
        <v>45657</v>
      </c>
      <c r="F113" t="s">
        <v>390</v>
      </c>
      <c r="G113" s="14" t="s">
        <v>104</v>
      </c>
      <c r="H113" s="4">
        <v>0</v>
      </c>
      <c r="I113" t="s">
        <v>21</v>
      </c>
    </row>
    <row r="114" spans="1:9" x14ac:dyDescent="0.25">
      <c r="A114">
        <v>6169282</v>
      </c>
      <c r="B114" t="s">
        <v>18</v>
      </c>
      <c r="C114" t="s">
        <v>627</v>
      </c>
      <c r="D114" s="1">
        <v>45657</v>
      </c>
      <c r="E114" s="1">
        <v>45657</v>
      </c>
      <c r="F114" t="s">
        <v>391</v>
      </c>
      <c r="G114" s="15" t="s">
        <v>105</v>
      </c>
      <c r="H114" s="4">
        <v>0</v>
      </c>
      <c r="I114" t="s">
        <v>21</v>
      </c>
    </row>
    <row r="115" spans="1:9" x14ac:dyDescent="0.25">
      <c r="A115">
        <v>6169283</v>
      </c>
      <c r="B115" t="s">
        <v>18</v>
      </c>
      <c r="C115" t="s">
        <v>627</v>
      </c>
      <c r="D115" s="1">
        <v>45657</v>
      </c>
      <c r="E115" s="1">
        <v>45657</v>
      </c>
      <c r="F115" t="s">
        <v>392</v>
      </c>
      <c r="G115" s="15" t="s">
        <v>98</v>
      </c>
      <c r="H115" s="4">
        <v>400000</v>
      </c>
      <c r="I115" t="s">
        <v>21</v>
      </c>
    </row>
    <row r="116" spans="1:9" x14ac:dyDescent="0.25">
      <c r="A116">
        <v>6169284</v>
      </c>
      <c r="B116" t="s">
        <v>18</v>
      </c>
      <c r="C116" t="s">
        <v>627</v>
      </c>
      <c r="D116" s="1">
        <v>45657</v>
      </c>
      <c r="E116" s="1">
        <v>45657</v>
      </c>
      <c r="F116" t="s">
        <v>393</v>
      </c>
      <c r="G116" s="15" t="s">
        <v>106</v>
      </c>
      <c r="H116" s="4">
        <v>0</v>
      </c>
      <c r="I116" t="s">
        <v>21</v>
      </c>
    </row>
    <row r="117" spans="1:9" x14ac:dyDescent="0.25">
      <c r="A117">
        <v>6169285</v>
      </c>
      <c r="B117" t="s">
        <v>18</v>
      </c>
      <c r="C117" t="s">
        <v>627</v>
      </c>
      <c r="D117" s="1">
        <v>45657</v>
      </c>
      <c r="E117" s="1">
        <v>45657</v>
      </c>
      <c r="F117" t="s">
        <v>394</v>
      </c>
      <c r="G117" s="15" t="s">
        <v>107</v>
      </c>
      <c r="H117" s="4">
        <v>112000</v>
      </c>
      <c r="I117" t="s">
        <v>21</v>
      </c>
    </row>
    <row r="118" spans="1:9" x14ac:dyDescent="0.25">
      <c r="A118">
        <v>6169286</v>
      </c>
      <c r="B118" t="s">
        <v>18</v>
      </c>
      <c r="C118" t="s">
        <v>627</v>
      </c>
      <c r="D118" s="1">
        <v>45657</v>
      </c>
      <c r="E118" s="1">
        <v>45657</v>
      </c>
      <c r="F118" t="s">
        <v>395</v>
      </c>
      <c r="G118" s="15" t="s">
        <v>108</v>
      </c>
      <c r="H118" s="4">
        <v>451000</v>
      </c>
      <c r="I118" t="s">
        <v>21</v>
      </c>
    </row>
    <row r="119" spans="1:9" x14ac:dyDescent="0.25">
      <c r="A119">
        <v>6169287</v>
      </c>
      <c r="B119" t="s">
        <v>18</v>
      </c>
      <c r="C119" t="s">
        <v>627</v>
      </c>
      <c r="D119" s="1">
        <v>45657</v>
      </c>
      <c r="E119" s="1">
        <v>45657</v>
      </c>
      <c r="F119" t="s">
        <v>396</v>
      </c>
      <c r="G119" s="15" t="s">
        <v>109</v>
      </c>
      <c r="H119" s="4">
        <v>0</v>
      </c>
      <c r="I119" t="s">
        <v>21</v>
      </c>
    </row>
    <row r="120" spans="1:9" x14ac:dyDescent="0.25">
      <c r="A120">
        <v>6169288</v>
      </c>
      <c r="B120" t="s">
        <v>18</v>
      </c>
      <c r="C120" t="s">
        <v>627</v>
      </c>
      <c r="D120" s="1">
        <v>45657</v>
      </c>
      <c r="E120" s="1">
        <v>45657</v>
      </c>
      <c r="F120" t="s">
        <v>397</v>
      </c>
      <c r="G120" s="15" t="s">
        <v>110</v>
      </c>
      <c r="H120" s="4">
        <v>49000</v>
      </c>
      <c r="I120" t="s">
        <v>21</v>
      </c>
    </row>
    <row r="121" spans="1:9" x14ac:dyDescent="0.25">
      <c r="A121">
        <v>6169289</v>
      </c>
      <c r="B121" t="s">
        <v>18</v>
      </c>
      <c r="C121" t="s">
        <v>627</v>
      </c>
      <c r="D121" s="1">
        <v>45657</v>
      </c>
      <c r="E121" s="1">
        <v>45657</v>
      </c>
      <c r="F121" t="s">
        <v>398</v>
      </c>
      <c r="G121" s="15" t="s">
        <v>111</v>
      </c>
      <c r="H121" s="4">
        <v>0</v>
      </c>
      <c r="I121" t="s">
        <v>21</v>
      </c>
    </row>
    <row r="122" spans="1:9" x14ac:dyDescent="0.25">
      <c r="A122">
        <v>6169290</v>
      </c>
      <c r="B122" t="s">
        <v>18</v>
      </c>
      <c r="C122" t="s">
        <v>627</v>
      </c>
      <c r="D122" s="1">
        <v>45657</v>
      </c>
      <c r="E122" s="1">
        <v>45657</v>
      </c>
      <c r="F122" t="s">
        <v>399</v>
      </c>
      <c r="G122" s="15" t="s">
        <v>112</v>
      </c>
      <c r="H122" s="4">
        <v>0</v>
      </c>
      <c r="I122" t="s">
        <v>21</v>
      </c>
    </row>
    <row r="123" spans="1:9" x14ac:dyDescent="0.25">
      <c r="A123">
        <v>6169291</v>
      </c>
      <c r="B123" t="s">
        <v>18</v>
      </c>
      <c r="C123" t="s">
        <v>627</v>
      </c>
      <c r="D123" s="1">
        <v>45657</v>
      </c>
      <c r="E123" s="1">
        <v>45657</v>
      </c>
      <c r="F123" t="s">
        <v>400</v>
      </c>
      <c r="G123" s="2" t="s">
        <v>113</v>
      </c>
      <c r="H123" s="4">
        <v>0</v>
      </c>
      <c r="I123" t="s">
        <v>21</v>
      </c>
    </row>
    <row r="124" spans="1:9" x14ac:dyDescent="0.25">
      <c r="A124">
        <v>6169292</v>
      </c>
      <c r="B124" t="s">
        <v>18</v>
      </c>
      <c r="C124" t="s">
        <v>627</v>
      </c>
      <c r="D124" s="1">
        <v>45657</v>
      </c>
      <c r="E124" s="1">
        <v>45657</v>
      </c>
      <c r="F124" t="s">
        <v>401</v>
      </c>
      <c r="G124" s="14" t="s">
        <v>114</v>
      </c>
      <c r="H124" s="4">
        <v>0</v>
      </c>
      <c r="I124" t="s">
        <v>21</v>
      </c>
    </row>
    <row r="125" spans="1:9" x14ac:dyDescent="0.25">
      <c r="A125">
        <v>6169293</v>
      </c>
      <c r="B125" t="s">
        <v>18</v>
      </c>
      <c r="C125" t="s">
        <v>627</v>
      </c>
      <c r="D125" s="1">
        <v>45657</v>
      </c>
      <c r="E125" s="1">
        <v>45657</v>
      </c>
      <c r="F125" t="s">
        <v>402</v>
      </c>
      <c r="G125" s="15" t="s">
        <v>115</v>
      </c>
      <c r="H125" s="4">
        <v>0</v>
      </c>
      <c r="I125" t="s">
        <v>21</v>
      </c>
    </row>
    <row r="126" spans="1:9" x14ac:dyDescent="0.25">
      <c r="A126">
        <v>6169294</v>
      </c>
      <c r="B126" t="s">
        <v>18</v>
      </c>
      <c r="C126" t="s">
        <v>627</v>
      </c>
      <c r="D126" s="1">
        <v>45657</v>
      </c>
      <c r="E126" s="1">
        <v>45657</v>
      </c>
      <c r="F126" t="s">
        <v>403</v>
      </c>
      <c r="G126" s="15" t="s">
        <v>116</v>
      </c>
      <c r="H126" s="4">
        <v>0</v>
      </c>
      <c r="I126" t="s">
        <v>21</v>
      </c>
    </row>
    <row r="127" spans="1:9" x14ac:dyDescent="0.25">
      <c r="A127">
        <v>6169295</v>
      </c>
      <c r="B127" t="s">
        <v>18</v>
      </c>
      <c r="C127" t="s">
        <v>627</v>
      </c>
      <c r="D127" s="1">
        <v>45657</v>
      </c>
      <c r="E127" s="1">
        <v>45657</v>
      </c>
      <c r="F127" t="s">
        <v>404</v>
      </c>
      <c r="G127" s="15" t="s">
        <v>117</v>
      </c>
      <c r="H127" s="4">
        <v>0</v>
      </c>
      <c r="I127" t="s">
        <v>21</v>
      </c>
    </row>
    <row r="128" spans="1:9" x14ac:dyDescent="0.25">
      <c r="A128">
        <v>6169296</v>
      </c>
      <c r="B128" t="s">
        <v>18</v>
      </c>
      <c r="C128" t="s">
        <v>627</v>
      </c>
      <c r="D128" s="1">
        <v>45657</v>
      </c>
      <c r="E128" s="1">
        <v>45657</v>
      </c>
      <c r="F128" t="s">
        <v>405</v>
      </c>
      <c r="G128" s="15" t="s">
        <v>118</v>
      </c>
      <c r="H128" s="4">
        <v>0</v>
      </c>
      <c r="I128" t="s">
        <v>21</v>
      </c>
    </row>
    <row r="129" spans="1:9" x14ac:dyDescent="0.25">
      <c r="A129">
        <v>6169297</v>
      </c>
      <c r="B129" t="s">
        <v>18</v>
      </c>
      <c r="C129" t="s">
        <v>627</v>
      </c>
      <c r="D129" s="1">
        <v>45657</v>
      </c>
      <c r="E129" s="1">
        <v>45657</v>
      </c>
      <c r="F129" t="s">
        <v>406</v>
      </c>
      <c r="G129" s="15" t="s">
        <v>119</v>
      </c>
      <c r="H129" s="4">
        <v>0</v>
      </c>
      <c r="I129" t="s">
        <v>21</v>
      </c>
    </row>
    <row r="130" spans="1:9" x14ac:dyDescent="0.25">
      <c r="A130">
        <v>6169298</v>
      </c>
      <c r="B130" t="s">
        <v>18</v>
      </c>
      <c r="C130" t="s">
        <v>627</v>
      </c>
      <c r="D130" s="1">
        <v>45657</v>
      </c>
      <c r="E130" s="1">
        <v>45657</v>
      </c>
      <c r="F130" t="s">
        <v>407</v>
      </c>
      <c r="G130" s="14" t="s">
        <v>120</v>
      </c>
      <c r="H130" s="4">
        <v>0</v>
      </c>
      <c r="I130" t="s">
        <v>21</v>
      </c>
    </row>
    <row r="131" spans="1:9" x14ac:dyDescent="0.25">
      <c r="A131">
        <v>6169299</v>
      </c>
      <c r="B131" t="s">
        <v>18</v>
      </c>
      <c r="C131" t="s">
        <v>627</v>
      </c>
      <c r="D131" s="1">
        <v>45657</v>
      </c>
      <c r="E131" s="1">
        <v>45657</v>
      </c>
      <c r="F131" t="s">
        <v>408</v>
      </c>
      <c r="G131" s="15" t="s">
        <v>121</v>
      </c>
      <c r="H131" s="4">
        <v>0</v>
      </c>
      <c r="I131" t="s">
        <v>21</v>
      </c>
    </row>
    <row r="132" spans="1:9" x14ac:dyDescent="0.25">
      <c r="A132">
        <v>6169300</v>
      </c>
      <c r="B132" t="s">
        <v>18</v>
      </c>
      <c r="C132" t="s">
        <v>627</v>
      </c>
      <c r="D132" s="1">
        <v>45657</v>
      </c>
      <c r="E132" s="1">
        <v>45657</v>
      </c>
      <c r="F132" t="s">
        <v>409</v>
      </c>
      <c r="G132" s="15" t="s">
        <v>122</v>
      </c>
      <c r="H132" s="4">
        <v>136000</v>
      </c>
      <c r="I132" t="s">
        <v>21</v>
      </c>
    </row>
    <row r="133" spans="1:9" x14ac:dyDescent="0.25">
      <c r="A133">
        <v>6169301</v>
      </c>
      <c r="B133" t="s">
        <v>18</v>
      </c>
      <c r="C133" t="s">
        <v>627</v>
      </c>
      <c r="D133" s="1">
        <v>45657</v>
      </c>
      <c r="E133" s="1">
        <v>45657</v>
      </c>
      <c r="F133" t="s">
        <v>410</v>
      </c>
      <c r="G133" s="15" t="s">
        <v>123</v>
      </c>
      <c r="H133" s="4">
        <v>0</v>
      </c>
      <c r="I133" t="s">
        <v>21</v>
      </c>
    </row>
    <row r="134" spans="1:9" x14ac:dyDescent="0.25">
      <c r="A134">
        <v>6169302</v>
      </c>
      <c r="B134" t="s">
        <v>18</v>
      </c>
      <c r="C134" t="s">
        <v>627</v>
      </c>
      <c r="D134" s="1">
        <v>45657</v>
      </c>
      <c r="E134" s="1">
        <v>45657</v>
      </c>
      <c r="F134" t="s">
        <v>411</v>
      </c>
      <c r="G134" s="2" t="s">
        <v>124</v>
      </c>
      <c r="H134" s="4">
        <v>136000</v>
      </c>
      <c r="I134" t="s">
        <v>21</v>
      </c>
    </row>
    <row r="135" spans="1:9" x14ac:dyDescent="0.25">
      <c r="A135">
        <v>6169303</v>
      </c>
      <c r="B135" t="s">
        <v>18</v>
      </c>
      <c r="C135" t="s">
        <v>627</v>
      </c>
      <c r="D135" s="1">
        <v>45657</v>
      </c>
      <c r="E135" s="1">
        <v>45657</v>
      </c>
      <c r="F135" t="s">
        <v>412</v>
      </c>
      <c r="G135" s="14" t="s">
        <v>125</v>
      </c>
      <c r="H135" s="4">
        <v>8113000</v>
      </c>
      <c r="I135" t="s">
        <v>21</v>
      </c>
    </row>
    <row r="136" spans="1:9" x14ac:dyDescent="0.25">
      <c r="A136">
        <v>6169304</v>
      </c>
      <c r="B136" t="s">
        <v>18</v>
      </c>
      <c r="C136" t="s">
        <v>627</v>
      </c>
      <c r="D136" s="1">
        <v>45657</v>
      </c>
      <c r="E136" s="1">
        <v>45657</v>
      </c>
      <c r="F136" t="s">
        <v>413</v>
      </c>
      <c r="G136" s="14" t="s">
        <v>93</v>
      </c>
      <c r="H136" s="4">
        <v>1733000</v>
      </c>
      <c r="I136" t="s">
        <v>21</v>
      </c>
    </row>
    <row r="137" spans="1:9" x14ac:dyDescent="0.25">
      <c r="A137">
        <v>6169305</v>
      </c>
      <c r="B137" t="s">
        <v>18</v>
      </c>
      <c r="C137" t="s">
        <v>627</v>
      </c>
      <c r="D137" s="1">
        <v>45657</v>
      </c>
      <c r="E137" s="1">
        <v>45657</v>
      </c>
      <c r="F137" t="s">
        <v>414</v>
      </c>
      <c r="G137" s="13" t="s">
        <v>93</v>
      </c>
      <c r="H137" s="4">
        <v>17000</v>
      </c>
      <c r="I137" t="s">
        <v>21</v>
      </c>
    </row>
    <row r="138" spans="1:9" x14ac:dyDescent="0.25">
      <c r="A138">
        <v>6169306</v>
      </c>
      <c r="B138" t="s">
        <v>18</v>
      </c>
      <c r="C138" t="s">
        <v>627</v>
      </c>
      <c r="D138" s="1">
        <v>45657</v>
      </c>
      <c r="E138" s="1">
        <v>45657</v>
      </c>
      <c r="F138" t="s">
        <v>415</v>
      </c>
      <c r="G138" s="2" t="s">
        <v>94</v>
      </c>
      <c r="H138" s="4">
        <v>17000</v>
      </c>
      <c r="I138" t="s">
        <v>21</v>
      </c>
    </row>
    <row r="139" spans="1:9" x14ac:dyDescent="0.25">
      <c r="A139">
        <v>6169307</v>
      </c>
      <c r="B139" t="s">
        <v>18</v>
      </c>
      <c r="C139" t="s">
        <v>627</v>
      </c>
      <c r="D139" s="1">
        <v>45657</v>
      </c>
      <c r="E139" s="1">
        <v>45657</v>
      </c>
      <c r="F139" t="s">
        <v>416</v>
      </c>
      <c r="G139" s="14" t="s">
        <v>95</v>
      </c>
      <c r="H139" s="4">
        <v>0</v>
      </c>
      <c r="I139" t="s">
        <v>21</v>
      </c>
    </row>
    <row r="140" spans="1:9" x14ac:dyDescent="0.25">
      <c r="A140">
        <v>6169308</v>
      </c>
      <c r="B140" t="s">
        <v>18</v>
      </c>
      <c r="C140" t="s">
        <v>627</v>
      </c>
      <c r="D140" s="1">
        <v>45657</v>
      </c>
      <c r="E140" s="1">
        <v>45657</v>
      </c>
      <c r="F140" t="s">
        <v>417</v>
      </c>
      <c r="G140" s="15" t="s">
        <v>96</v>
      </c>
      <c r="H140" s="4">
        <v>1716000</v>
      </c>
      <c r="I140" t="s">
        <v>21</v>
      </c>
    </row>
    <row r="141" spans="1:9" x14ac:dyDescent="0.25">
      <c r="A141">
        <v>6169309</v>
      </c>
      <c r="B141" t="s">
        <v>18</v>
      </c>
      <c r="C141" t="s">
        <v>627</v>
      </c>
      <c r="D141" s="1">
        <v>45657</v>
      </c>
      <c r="E141" s="1">
        <v>45657</v>
      </c>
      <c r="F141" t="s">
        <v>418</v>
      </c>
      <c r="G141" s="15" t="s">
        <v>96</v>
      </c>
      <c r="H141" s="4">
        <v>1716000</v>
      </c>
      <c r="I141" t="s">
        <v>21</v>
      </c>
    </row>
    <row r="142" spans="1:9" x14ac:dyDescent="0.25">
      <c r="A142">
        <v>6169310</v>
      </c>
      <c r="B142" t="s">
        <v>18</v>
      </c>
      <c r="C142" t="s">
        <v>627</v>
      </c>
      <c r="D142" s="1">
        <v>45657</v>
      </c>
      <c r="E142" s="1">
        <v>45657</v>
      </c>
      <c r="F142" t="s">
        <v>419</v>
      </c>
      <c r="G142" s="14" t="s">
        <v>97</v>
      </c>
      <c r="H142" s="4">
        <v>0</v>
      </c>
      <c r="I142" t="s">
        <v>21</v>
      </c>
    </row>
    <row r="143" spans="1:9" x14ac:dyDescent="0.25">
      <c r="A143">
        <v>6169311</v>
      </c>
      <c r="B143" t="s">
        <v>18</v>
      </c>
      <c r="C143" t="s">
        <v>627</v>
      </c>
      <c r="D143" s="1">
        <v>45657</v>
      </c>
      <c r="E143" s="1">
        <v>45657</v>
      </c>
      <c r="F143" t="s">
        <v>420</v>
      </c>
      <c r="G143" s="15" t="s">
        <v>98</v>
      </c>
      <c r="H143" s="4">
        <v>5029000</v>
      </c>
      <c r="I143" t="s">
        <v>21</v>
      </c>
    </row>
    <row r="144" spans="1:9" x14ac:dyDescent="0.25">
      <c r="A144">
        <v>6169312</v>
      </c>
      <c r="B144" t="s">
        <v>18</v>
      </c>
      <c r="C144" t="s">
        <v>627</v>
      </c>
      <c r="D144" s="1">
        <v>45657</v>
      </c>
      <c r="E144" s="1">
        <v>45657</v>
      </c>
      <c r="F144" t="s">
        <v>421</v>
      </c>
      <c r="G144" s="14" t="s">
        <v>99</v>
      </c>
      <c r="H144" s="4">
        <v>0</v>
      </c>
      <c r="I144" t="s">
        <v>21</v>
      </c>
    </row>
    <row r="145" spans="1:9" x14ac:dyDescent="0.25">
      <c r="A145">
        <v>6169313</v>
      </c>
      <c r="B145" t="s">
        <v>18</v>
      </c>
      <c r="C145" t="s">
        <v>627</v>
      </c>
      <c r="D145" s="1">
        <v>45657</v>
      </c>
      <c r="E145" s="1">
        <v>45657</v>
      </c>
      <c r="F145" t="s">
        <v>422</v>
      </c>
      <c r="G145" s="2" t="s">
        <v>100</v>
      </c>
      <c r="H145" s="4">
        <v>0</v>
      </c>
      <c r="I145" t="s">
        <v>21</v>
      </c>
    </row>
    <row r="146" spans="1:9" x14ac:dyDescent="0.25">
      <c r="A146">
        <v>6169314</v>
      </c>
      <c r="B146" t="s">
        <v>18</v>
      </c>
      <c r="C146" t="s">
        <v>627</v>
      </c>
      <c r="D146" s="1">
        <v>45657</v>
      </c>
      <c r="E146" s="1">
        <v>45657</v>
      </c>
      <c r="F146" t="s">
        <v>423</v>
      </c>
      <c r="G146" s="14" t="s">
        <v>101</v>
      </c>
      <c r="H146" s="4">
        <v>0</v>
      </c>
      <c r="I146" t="s">
        <v>21</v>
      </c>
    </row>
    <row r="147" spans="1:9" x14ac:dyDescent="0.25">
      <c r="A147">
        <v>6169315</v>
      </c>
      <c r="B147" t="s">
        <v>18</v>
      </c>
      <c r="C147" t="s">
        <v>627</v>
      </c>
      <c r="D147" s="1">
        <v>45657</v>
      </c>
      <c r="E147" s="1">
        <v>45657</v>
      </c>
      <c r="F147" t="s">
        <v>424</v>
      </c>
      <c r="G147" s="15" t="s">
        <v>102</v>
      </c>
      <c r="H147" s="4">
        <v>0</v>
      </c>
      <c r="I147" t="s">
        <v>21</v>
      </c>
    </row>
    <row r="148" spans="1:9" x14ac:dyDescent="0.25">
      <c r="A148">
        <v>6169316</v>
      </c>
      <c r="B148" t="s">
        <v>18</v>
      </c>
      <c r="C148" t="s">
        <v>627</v>
      </c>
      <c r="D148" s="1">
        <v>45657</v>
      </c>
      <c r="E148" s="1">
        <v>45657</v>
      </c>
      <c r="F148" t="s">
        <v>425</v>
      </c>
      <c r="G148" s="15" t="s">
        <v>44</v>
      </c>
      <c r="H148" s="4">
        <v>5029000</v>
      </c>
      <c r="I148" t="s">
        <v>21</v>
      </c>
    </row>
    <row r="149" spans="1:9" x14ac:dyDescent="0.25">
      <c r="A149">
        <v>6169317</v>
      </c>
      <c r="B149" t="s">
        <v>18</v>
      </c>
      <c r="C149" t="s">
        <v>627</v>
      </c>
      <c r="D149" s="1">
        <v>45657</v>
      </c>
      <c r="E149" s="1">
        <v>45657</v>
      </c>
      <c r="F149" t="s">
        <v>426</v>
      </c>
      <c r="G149" s="15" t="s">
        <v>105</v>
      </c>
      <c r="H149" s="4">
        <v>0</v>
      </c>
      <c r="I149" t="s">
        <v>21</v>
      </c>
    </row>
    <row r="150" spans="1:9" x14ac:dyDescent="0.25">
      <c r="A150">
        <v>6169318</v>
      </c>
      <c r="B150" t="s">
        <v>18</v>
      </c>
      <c r="C150" t="s">
        <v>627</v>
      </c>
      <c r="D150" s="1">
        <v>45657</v>
      </c>
      <c r="E150" s="1">
        <v>45657</v>
      </c>
      <c r="F150" t="s">
        <v>427</v>
      </c>
      <c r="G150" s="14" t="s">
        <v>126</v>
      </c>
      <c r="H150" s="4">
        <v>0</v>
      </c>
      <c r="I150" t="s">
        <v>21</v>
      </c>
    </row>
    <row r="151" spans="1:9" x14ac:dyDescent="0.25">
      <c r="A151">
        <v>6169319</v>
      </c>
      <c r="B151" t="s">
        <v>18</v>
      </c>
      <c r="C151" t="s">
        <v>627</v>
      </c>
      <c r="D151" s="1">
        <v>45657</v>
      </c>
      <c r="E151" s="1">
        <v>45657</v>
      </c>
      <c r="F151" t="s">
        <v>428</v>
      </c>
      <c r="G151" s="15" t="s">
        <v>98</v>
      </c>
      <c r="H151" s="4">
        <v>547000</v>
      </c>
      <c r="I151" t="s">
        <v>21</v>
      </c>
    </row>
    <row r="152" spans="1:9" x14ac:dyDescent="0.25">
      <c r="A152">
        <v>6169320</v>
      </c>
      <c r="B152" t="s">
        <v>18</v>
      </c>
      <c r="C152" t="s">
        <v>627</v>
      </c>
      <c r="D152" s="1">
        <v>45657</v>
      </c>
      <c r="E152" s="1">
        <v>45657</v>
      </c>
      <c r="F152" t="s">
        <v>429</v>
      </c>
      <c r="G152" s="15" t="s">
        <v>106</v>
      </c>
      <c r="H152" s="4">
        <v>0</v>
      </c>
      <c r="I152" t="s">
        <v>21</v>
      </c>
    </row>
    <row r="153" spans="1:9" x14ac:dyDescent="0.25">
      <c r="A153">
        <v>6169321</v>
      </c>
      <c r="B153" t="s">
        <v>18</v>
      </c>
      <c r="C153" t="s">
        <v>627</v>
      </c>
      <c r="D153" s="1">
        <v>45657</v>
      </c>
      <c r="E153" s="1">
        <v>45657</v>
      </c>
      <c r="F153" t="s">
        <v>430</v>
      </c>
      <c r="G153" s="15" t="s">
        <v>108</v>
      </c>
      <c r="H153" s="4">
        <v>3735000</v>
      </c>
      <c r="I153" t="s">
        <v>21</v>
      </c>
    </row>
    <row r="154" spans="1:9" x14ac:dyDescent="0.25">
      <c r="A154">
        <v>6169322</v>
      </c>
      <c r="B154" t="s">
        <v>18</v>
      </c>
      <c r="C154" t="s">
        <v>627</v>
      </c>
      <c r="D154" s="1">
        <v>45657</v>
      </c>
      <c r="E154" s="1">
        <v>45657</v>
      </c>
      <c r="F154" t="s">
        <v>431</v>
      </c>
      <c r="G154" s="15" t="s">
        <v>127</v>
      </c>
      <c r="H154" s="4">
        <v>0</v>
      </c>
      <c r="I154" t="s">
        <v>21</v>
      </c>
    </row>
    <row r="155" spans="1:9" x14ac:dyDescent="0.25">
      <c r="A155">
        <v>6169323</v>
      </c>
      <c r="B155" t="s">
        <v>18</v>
      </c>
      <c r="C155" t="s">
        <v>627</v>
      </c>
      <c r="D155" s="1">
        <v>45657</v>
      </c>
      <c r="E155" s="1">
        <v>45657</v>
      </c>
      <c r="F155" t="s">
        <v>432</v>
      </c>
      <c r="G155" s="15" t="s">
        <v>128</v>
      </c>
      <c r="H155" s="4">
        <v>243000</v>
      </c>
      <c r="I155" t="s">
        <v>21</v>
      </c>
    </row>
    <row r="156" spans="1:9" x14ac:dyDescent="0.25">
      <c r="A156">
        <v>6169324</v>
      </c>
      <c r="B156" t="s">
        <v>18</v>
      </c>
      <c r="C156" t="s">
        <v>627</v>
      </c>
      <c r="D156" s="1">
        <v>45657</v>
      </c>
      <c r="E156" s="1">
        <v>45657</v>
      </c>
      <c r="F156" t="s">
        <v>433</v>
      </c>
      <c r="G156" s="15" t="s">
        <v>129</v>
      </c>
      <c r="H156" s="4">
        <v>163000</v>
      </c>
      <c r="I156" t="s">
        <v>21</v>
      </c>
    </row>
    <row r="157" spans="1:9" x14ac:dyDescent="0.25">
      <c r="A157">
        <v>6169325</v>
      </c>
      <c r="B157" t="s">
        <v>18</v>
      </c>
      <c r="C157" t="s">
        <v>627</v>
      </c>
      <c r="D157" s="1">
        <v>45657</v>
      </c>
      <c r="E157" s="1">
        <v>45657</v>
      </c>
      <c r="F157" t="s">
        <v>434</v>
      </c>
      <c r="G157" s="15" t="s">
        <v>78</v>
      </c>
      <c r="H157" s="4">
        <v>341000</v>
      </c>
      <c r="I157" t="s">
        <v>21</v>
      </c>
    </row>
    <row r="158" spans="1:9" x14ac:dyDescent="0.25">
      <c r="A158">
        <v>6169326</v>
      </c>
      <c r="B158" t="s">
        <v>18</v>
      </c>
      <c r="C158" t="s">
        <v>627</v>
      </c>
      <c r="D158" s="1">
        <v>45657</v>
      </c>
      <c r="E158" s="1">
        <v>45657</v>
      </c>
      <c r="F158" t="s">
        <v>435</v>
      </c>
      <c r="G158" s="15" t="s">
        <v>51</v>
      </c>
      <c r="H158" s="4">
        <v>52000</v>
      </c>
      <c r="I158" t="s">
        <v>21</v>
      </c>
    </row>
    <row r="159" spans="1:9" x14ac:dyDescent="0.25">
      <c r="A159">
        <v>6169327</v>
      </c>
      <c r="B159" t="s">
        <v>18</v>
      </c>
      <c r="C159" t="s">
        <v>627</v>
      </c>
      <c r="D159" s="1">
        <v>45657</v>
      </c>
      <c r="E159" s="1">
        <v>45657</v>
      </c>
      <c r="F159" t="s">
        <v>436</v>
      </c>
      <c r="G159" s="15" t="s">
        <v>52</v>
      </c>
      <c r="H159" s="4">
        <v>52000</v>
      </c>
      <c r="I159" t="s">
        <v>21</v>
      </c>
    </row>
    <row r="160" spans="1:9" x14ac:dyDescent="0.25">
      <c r="A160">
        <v>6169328</v>
      </c>
      <c r="B160" t="s">
        <v>18</v>
      </c>
      <c r="C160" t="s">
        <v>627</v>
      </c>
      <c r="D160" s="1">
        <v>45657</v>
      </c>
      <c r="E160" s="1">
        <v>45657</v>
      </c>
      <c r="F160" t="s">
        <v>437</v>
      </c>
      <c r="G160" s="2" t="s">
        <v>111</v>
      </c>
      <c r="H160" s="4">
        <v>1299000</v>
      </c>
      <c r="I160" t="s">
        <v>21</v>
      </c>
    </row>
    <row r="161" spans="1:9" x14ac:dyDescent="0.25">
      <c r="A161">
        <v>6169329</v>
      </c>
      <c r="B161" t="s">
        <v>18</v>
      </c>
      <c r="C161" t="s">
        <v>627</v>
      </c>
      <c r="D161" s="1">
        <v>45657</v>
      </c>
      <c r="E161" s="1">
        <v>45657</v>
      </c>
      <c r="F161" t="s">
        <v>438</v>
      </c>
      <c r="G161" s="14" t="s">
        <v>112</v>
      </c>
      <c r="H161" s="4">
        <v>1299000</v>
      </c>
      <c r="I161" t="s">
        <v>21</v>
      </c>
    </row>
    <row r="162" spans="1:9" x14ac:dyDescent="0.25">
      <c r="A162">
        <v>6169330</v>
      </c>
      <c r="B162" t="s">
        <v>18</v>
      </c>
      <c r="C162" t="s">
        <v>627</v>
      </c>
      <c r="D162" s="1">
        <v>45657</v>
      </c>
      <c r="E162" s="1">
        <v>45657</v>
      </c>
      <c r="F162" t="s">
        <v>439</v>
      </c>
      <c r="G162" s="2" t="s">
        <v>113</v>
      </c>
      <c r="H162" s="4">
        <v>789000</v>
      </c>
      <c r="I162" t="s">
        <v>21</v>
      </c>
    </row>
    <row r="163" spans="1:9" x14ac:dyDescent="0.25">
      <c r="A163">
        <v>6169331</v>
      </c>
      <c r="B163" t="s">
        <v>18</v>
      </c>
      <c r="C163" t="s">
        <v>627</v>
      </c>
      <c r="D163" s="1">
        <v>45657</v>
      </c>
      <c r="E163" s="1">
        <v>45657</v>
      </c>
      <c r="F163" t="s">
        <v>440</v>
      </c>
      <c r="G163" s="14" t="s">
        <v>114</v>
      </c>
      <c r="H163" s="4">
        <v>244000</v>
      </c>
      <c r="I163" t="s">
        <v>21</v>
      </c>
    </row>
    <row r="164" spans="1:9" x14ac:dyDescent="0.25">
      <c r="A164">
        <v>6169332</v>
      </c>
      <c r="B164" t="s">
        <v>18</v>
      </c>
      <c r="C164" t="s">
        <v>627</v>
      </c>
      <c r="D164" s="1">
        <v>45657</v>
      </c>
      <c r="E164" s="1">
        <v>45657</v>
      </c>
      <c r="F164" t="s">
        <v>441</v>
      </c>
      <c r="G164" s="15" t="s">
        <v>115</v>
      </c>
      <c r="H164" s="4">
        <v>0</v>
      </c>
      <c r="I164" t="s">
        <v>21</v>
      </c>
    </row>
    <row r="165" spans="1:9" x14ac:dyDescent="0.25">
      <c r="A165">
        <v>6169333</v>
      </c>
      <c r="B165" t="s">
        <v>18</v>
      </c>
      <c r="C165" t="s">
        <v>627</v>
      </c>
      <c r="D165" s="1">
        <v>45657</v>
      </c>
      <c r="E165" s="1">
        <v>45657</v>
      </c>
      <c r="F165" t="s">
        <v>442</v>
      </c>
      <c r="G165" s="15" t="s">
        <v>116</v>
      </c>
      <c r="H165" s="4">
        <v>48000</v>
      </c>
      <c r="I165" t="s">
        <v>21</v>
      </c>
    </row>
    <row r="166" spans="1:9" x14ac:dyDescent="0.25">
      <c r="A166">
        <v>6169334</v>
      </c>
      <c r="B166" t="s">
        <v>18</v>
      </c>
      <c r="C166" t="s">
        <v>627</v>
      </c>
      <c r="D166" s="1">
        <v>45657</v>
      </c>
      <c r="E166" s="1">
        <v>45657</v>
      </c>
      <c r="F166" t="s">
        <v>443</v>
      </c>
      <c r="G166" s="15" t="s">
        <v>117</v>
      </c>
      <c r="H166" s="4">
        <v>218000</v>
      </c>
      <c r="I166" t="s">
        <v>21</v>
      </c>
    </row>
    <row r="167" spans="1:9" x14ac:dyDescent="0.25">
      <c r="A167">
        <v>6169335</v>
      </c>
      <c r="B167" t="s">
        <v>18</v>
      </c>
      <c r="C167" t="s">
        <v>627</v>
      </c>
      <c r="D167" s="1">
        <v>45657</v>
      </c>
      <c r="E167" s="1">
        <v>45657</v>
      </c>
      <c r="F167" t="s">
        <v>444</v>
      </c>
      <c r="G167" s="15" t="s">
        <v>118</v>
      </c>
      <c r="H167" s="4">
        <v>0</v>
      </c>
      <c r="I167" t="s">
        <v>21</v>
      </c>
    </row>
    <row r="168" spans="1:9" x14ac:dyDescent="0.25">
      <c r="A168">
        <v>6169336</v>
      </c>
      <c r="B168" t="s">
        <v>18</v>
      </c>
      <c r="C168" t="s">
        <v>627</v>
      </c>
      <c r="D168" s="1">
        <v>45657</v>
      </c>
      <c r="E168" s="1">
        <v>45657</v>
      </c>
      <c r="F168" t="s">
        <v>445</v>
      </c>
      <c r="G168" s="15" t="s">
        <v>119</v>
      </c>
      <c r="H168" s="4">
        <v>0</v>
      </c>
      <c r="I168" t="s">
        <v>21</v>
      </c>
    </row>
    <row r="169" spans="1:9" x14ac:dyDescent="0.25">
      <c r="A169">
        <v>6169337</v>
      </c>
      <c r="B169" t="s">
        <v>18</v>
      </c>
      <c r="C169" t="s">
        <v>627</v>
      </c>
      <c r="D169" s="1">
        <v>45657</v>
      </c>
      <c r="E169" s="1">
        <v>45657</v>
      </c>
      <c r="F169" t="s">
        <v>446</v>
      </c>
      <c r="G169" s="14" t="s">
        <v>120</v>
      </c>
      <c r="H169" s="4">
        <v>0</v>
      </c>
      <c r="I169" t="s">
        <v>21</v>
      </c>
    </row>
    <row r="170" spans="1:9" x14ac:dyDescent="0.25">
      <c r="A170">
        <v>6169338</v>
      </c>
      <c r="B170" t="s">
        <v>18</v>
      </c>
      <c r="C170" t="s">
        <v>627</v>
      </c>
      <c r="D170" s="1">
        <v>45657</v>
      </c>
      <c r="E170" s="1">
        <v>45657</v>
      </c>
      <c r="F170" t="s">
        <v>447</v>
      </c>
      <c r="G170" s="15" t="s">
        <v>121</v>
      </c>
      <c r="H170" s="4">
        <v>0</v>
      </c>
      <c r="I170" t="s">
        <v>21</v>
      </c>
    </row>
    <row r="171" spans="1:9" x14ac:dyDescent="0.25">
      <c r="A171">
        <v>6169339</v>
      </c>
      <c r="B171" t="s">
        <v>18</v>
      </c>
      <c r="C171" t="s">
        <v>627</v>
      </c>
      <c r="D171" s="1">
        <v>45657</v>
      </c>
      <c r="E171" s="1">
        <v>45657</v>
      </c>
      <c r="F171" t="s">
        <v>448</v>
      </c>
      <c r="G171" s="15" t="s">
        <v>122</v>
      </c>
      <c r="H171" s="4">
        <v>0</v>
      </c>
      <c r="I171" t="s">
        <v>21</v>
      </c>
    </row>
    <row r="172" spans="1:9" x14ac:dyDescent="0.25">
      <c r="A172">
        <v>6169340</v>
      </c>
      <c r="B172" t="s">
        <v>18</v>
      </c>
      <c r="C172" t="s">
        <v>627</v>
      </c>
      <c r="D172" s="1">
        <v>45657</v>
      </c>
      <c r="E172" s="1">
        <v>45657</v>
      </c>
      <c r="F172" t="s">
        <v>449</v>
      </c>
      <c r="G172" s="15" t="s">
        <v>123</v>
      </c>
      <c r="H172" s="4">
        <v>0</v>
      </c>
      <c r="I172" t="s">
        <v>21</v>
      </c>
    </row>
    <row r="173" spans="1:9" x14ac:dyDescent="0.25">
      <c r="A173">
        <v>6169341</v>
      </c>
      <c r="B173" t="s">
        <v>18</v>
      </c>
      <c r="C173" t="s">
        <v>627</v>
      </c>
      <c r="D173" s="1">
        <v>45657</v>
      </c>
      <c r="E173" s="1">
        <v>45657</v>
      </c>
      <c r="F173" t="s">
        <v>450</v>
      </c>
      <c r="G173" s="2" t="s">
        <v>124</v>
      </c>
      <c r="H173" s="4">
        <v>0</v>
      </c>
      <c r="I173" t="s">
        <v>21</v>
      </c>
    </row>
    <row r="174" spans="1:9" x14ac:dyDescent="0.25">
      <c r="A174">
        <v>6169342</v>
      </c>
      <c r="B174" t="s">
        <v>18</v>
      </c>
      <c r="C174" t="s">
        <v>627</v>
      </c>
      <c r="D174" s="1">
        <v>45657</v>
      </c>
      <c r="E174" s="1">
        <v>45657</v>
      </c>
      <c r="F174" t="s">
        <v>451</v>
      </c>
      <c r="G174" s="14" t="s">
        <v>130</v>
      </c>
      <c r="H174" s="4">
        <v>0</v>
      </c>
      <c r="I174" t="s">
        <v>21</v>
      </c>
    </row>
    <row r="175" spans="1:9" x14ac:dyDescent="0.25">
      <c r="A175">
        <v>6169343</v>
      </c>
      <c r="B175" t="s">
        <v>18</v>
      </c>
      <c r="C175" t="s">
        <v>627</v>
      </c>
      <c r="D175" s="1">
        <v>45657</v>
      </c>
      <c r="E175" s="1">
        <v>45657</v>
      </c>
      <c r="F175" t="s">
        <v>452</v>
      </c>
      <c r="G175" s="14" t="s">
        <v>131</v>
      </c>
      <c r="H175" s="4">
        <v>0</v>
      </c>
      <c r="I175" t="s">
        <v>21</v>
      </c>
    </row>
    <row r="176" spans="1:9" x14ac:dyDescent="0.25">
      <c r="A176">
        <v>6169344</v>
      </c>
      <c r="B176" t="s">
        <v>18</v>
      </c>
      <c r="C176" t="s">
        <v>627</v>
      </c>
      <c r="D176" s="1">
        <v>45657</v>
      </c>
      <c r="E176" s="1">
        <v>45657</v>
      </c>
      <c r="F176" t="s">
        <v>453</v>
      </c>
      <c r="G176" s="2" t="s">
        <v>132</v>
      </c>
      <c r="H176" s="4">
        <v>0</v>
      </c>
      <c r="I176" t="s">
        <v>21</v>
      </c>
    </row>
    <row r="177" spans="1:9" x14ac:dyDescent="0.25">
      <c r="A177">
        <v>6169345</v>
      </c>
      <c r="B177" t="s">
        <v>18</v>
      </c>
      <c r="C177" t="s">
        <v>627</v>
      </c>
      <c r="D177" s="1">
        <v>45657</v>
      </c>
      <c r="E177" s="1">
        <v>45657</v>
      </c>
      <c r="F177" t="s">
        <v>454</v>
      </c>
      <c r="G177" s="14" t="s">
        <v>133</v>
      </c>
      <c r="H177" s="4">
        <v>0</v>
      </c>
      <c r="I177" t="s">
        <v>21</v>
      </c>
    </row>
    <row r="178" spans="1:9" x14ac:dyDescent="0.25">
      <c r="A178">
        <v>6169346</v>
      </c>
      <c r="B178" t="s">
        <v>18</v>
      </c>
      <c r="C178" t="s">
        <v>627</v>
      </c>
      <c r="D178" s="1">
        <v>45657</v>
      </c>
      <c r="E178" s="1">
        <v>45657</v>
      </c>
      <c r="F178" t="s">
        <v>455</v>
      </c>
      <c r="G178" s="14" t="s">
        <v>134</v>
      </c>
      <c r="H178" s="4">
        <v>4970000</v>
      </c>
      <c r="I178" t="s">
        <v>21</v>
      </c>
    </row>
    <row r="179" spans="1:9" x14ac:dyDescent="0.25">
      <c r="A179">
        <v>6169347</v>
      </c>
      <c r="B179" t="s">
        <v>18</v>
      </c>
      <c r="C179" t="s">
        <v>627</v>
      </c>
      <c r="D179" s="1">
        <v>45657</v>
      </c>
      <c r="E179" s="1">
        <v>45657</v>
      </c>
      <c r="F179" t="s">
        <v>456</v>
      </c>
      <c r="G179" s="14" t="s">
        <v>135</v>
      </c>
      <c r="H179" s="4">
        <v>39891000</v>
      </c>
      <c r="I179" t="s">
        <v>21</v>
      </c>
    </row>
    <row r="180" spans="1:9" x14ac:dyDescent="0.25">
      <c r="A180">
        <v>6169348</v>
      </c>
      <c r="B180" t="s">
        <v>18</v>
      </c>
      <c r="C180" t="s">
        <v>627</v>
      </c>
      <c r="D180" s="1">
        <v>45657</v>
      </c>
      <c r="E180" s="1">
        <v>45657</v>
      </c>
      <c r="F180" t="s">
        <v>457</v>
      </c>
      <c r="G180" s="13" t="s">
        <v>136</v>
      </c>
      <c r="H180" s="4">
        <v>0</v>
      </c>
      <c r="I180" t="s">
        <v>21</v>
      </c>
    </row>
    <row r="181" spans="1:9" x14ac:dyDescent="0.25">
      <c r="A181">
        <v>6169349</v>
      </c>
      <c r="B181" t="s">
        <v>18</v>
      </c>
      <c r="C181" t="s">
        <v>627</v>
      </c>
      <c r="D181" s="1">
        <v>45657</v>
      </c>
      <c r="E181" s="1">
        <v>45657</v>
      </c>
      <c r="F181" t="s">
        <v>458</v>
      </c>
      <c r="G181" s="2" t="s">
        <v>137</v>
      </c>
      <c r="H181" s="4">
        <v>0</v>
      </c>
      <c r="I181" t="s">
        <v>21</v>
      </c>
    </row>
    <row r="182" spans="1:9" x14ac:dyDescent="0.25">
      <c r="A182">
        <v>6169350</v>
      </c>
      <c r="B182" t="s">
        <v>18</v>
      </c>
      <c r="C182" t="s">
        <v>627</v>
      </c>
      <c r="D182" s="1">
        <v>45657</v>
      </c>
      <c r="E182" s="1">
        <v>45657</v>
      </c>
      <c r="F182" t="s">
        <v>459</v>
      </c>
      <c r="G182" s="2" t="s">
        <v>138</v>
      </c>
      <c r="H182" s="4">
        <v>0</v>
      </c>
      <c r="I182" t="s">
        <v>21</v>
      </c>
    </row>
    <row r="183" spans="1:9" x14ac:dyDescent="0.25">
      <c r="A183">
        <v>6169351</v>
      </c>
      <c r="B183" t="s">
        <v>18</v>
      </c>
      <c r="C183" t="s">
        <v>627</v>
      </c>
      <c r="D183" s="1">
        <v>45657</v>
      </c>
      <c r="E183" s="1">
        <v>45657</v>
      </c>
      <c r="F183" t="s">
        <v>460</v>
      </c>
      <c r="G183" s="14" t="s">
        <v>139</v>
      </c>
      <c r="H183" s="4">
        <v>0</v>
      </c>
      <c r="I183" t="s">
        <v>21</v>
      </c>
    </row>
    <row r="184" spans="1:9" x14ac:dyDescent="0.25">
      <c r="A184">
        <v>6169352</v>
      </c>
      <c r="B184" t="s">
        <v>18</v>
      </c>
      <c r="C184" t="s">
        <v>627</v>
      </c>
      <c r="D184" s="1">
        <v>45657</v>
      </c>
      <c r="E184" s="1">
        <v>45657</v>
      </c>
      <c r="F184" t="s">
        <v>461</v>
      </c>
      <c r="G184" s="14" t="s">
        <v>140</v>
      </c>
      <c r="H184" s="4">
        <v>0</v>
      </c>
      <c r="I184" t="s">
        <v>21</v>
      </c>
    </row>
    <row r="185" spans="1:9" x14ac:dyDescent="0.25">
      <c r="A185">
        <v>6169353</v>
      </c>
      <c r="B185" t="s">
        <v>18</v>
      </c>
      <c r="C185" t="s">
        <v>627</v>
      </c>
      <c r="D185" s="1">
        <v>45657</v>
      </c>
      <c r="E185" s="1">
        <v>45657</v>
      </c>
      <c r="F185" t="s">
        <v>462</v>
      </c>
      <c r="G185" s="14" t="s">
        <v>141</v>
      </c>
      <c r="H185" s="4">
        <v>0</v>
      </c>
      <c r="I185" t="s">
        <v>21</v>
      </c>
    </row>
    <row r="186" spans="1:9" x14ac:dyDescent="0.25">
      <c r="A186">
        <v>6169354</v>
      </c>
      <c r="B186" t="s">
        <v>18</v>
      </c>
      <c r="C186" t="s">
        <v>627</v>
      </c>
      <c r="D186" s="1">
        <v>45657</v>
      </c>
      <c r="E186" s="1">
        <v>45657</v>
      </c>
      <c r="F186" t="s">
        <v>463</v>
      </c>
      <c r="G186" s="14" t="s">
        <v>126</v>
      </c>
      <c r="H186" s="4">
        <v>0</v>
      </c>
      <c r="I186" t="s">
        <v>21</v>
      </c>
    </row>
    <row r="187" spans="1:9" x14ac:dyDescent="0.25">
      <c r="A187">
        <v>6169355</v>
      </c>
      <c r="B187" t="s">
        <v>18</v>
      </c>
      <c r="C187" t="s">
        <v>627</v>
      </c>
      <c r="D187" s="1">
        <v>45657</v>
      </c>
      <c r="E187" s="1">
        <v>45657</v>
      </c>
      <c r="F187" t="s">
        <v>464</v>
      </c>
      <c r="G187" s="14" t="s">
        <v>142</v>
      </c>
      <c r="H187" s="4">
        <v>0</v>
      </c>
      <c r="I187" t="s">
        <v>21</v>
      </c>
    </row>
    <row r="188" spans="1:9" x14ac:dyDescent="0.25">
      <c r="A188">
        <v>6169356</v>
      </c>
      <c r="B188" t="s">
        <v>18</v>
      </c>
      <c r="C188" t="s">
        <v>627</v>
      </c>
      <c r="D188" s="1">
        <v>45657</v>
      </c>
      <c r="E188" s="1">
        <v>45657</v>
      </c>
      <c r="F188" t="s">
        <v>465</v>
      </c>
      <c r="G188" s="14" t="s">
        <v>143</v>
      </c>
      <c r="H188" s="4">
        <v>0</v>
      </c>
      <c r="I188" t="s">
        <v>21</v>
      </c>
    </row>
    <row r="189" spans="1:9" x14ac:dyDescent="0.25">
      <c r="A189">
        <v>6169357</v>
      </c>
      <c r="B189" t="s">
        <v>18</v>
      </c>
      <c r="C189" t="s">
        <v>627</v>
      </c>
      <c r="D189" s="1">
        <v>45657</v>
      </c>
      <c r="E189" s="1">
        <v>45657</v>
      </c>
      <c r="F189" t="s">
        <v>466</v>
      </c>
      <c r="G189" s="14" t="s">
        <v>144</v>
      </c>
      <c r="H189" s="4">
        <v>0</v>
      </c>
      <c r="I189" t="s">
        <v>21</v>
      </c>
    </row>
    <row r="190" spans="1:9" x14ac:dyDescent="0.25">
      <c r="A190">
        <v>6169358</v>
      </c>
      <c r="B190" t="s">
        <v>18</v>
      </c>
      <c r="C190" t="s">
        <v>627</v>
      </c>
      <c r="D190" s="1">
        <v>45657</v>
      </c>
      <c r="E190" s="1">
        <v>45657</v>
      </c>
      <c r="F190" t="s">
        <v>467</v>
      </c>
      <c r="G190" s="14" t="s">
        <v>145</v>
      </c>
      <c r="H190" s="4">
        <v>0</v>
      </c>
      <c r="I190" t="s">
        <v>21</v>
      </c>
    </row>
    <row r="191" spans="1:9" x14ac:dyDescent="0.25">
      <c r="A191">
        <v>6169359</v>
      </c>
      <c r="B191" t="s">
        <v>18</v>
      </c>
      <c r="C191" t="s">
        <v>627</v>
      </c>
      <c r="D191" s="1">
        <v>45657</v>
      </c>
      <c r="E191" s="1">
        <v>45657</v>
      </c>
      <c r="F191" t="s">
        <v>468</v>
      </c>
      <c r="G191" s="2" t="s">
        <v>146</v>
      </c>
      <c r="H191" s="4">
        <v>0</v>
      </c>
      <c r="I191" t="s">
        <v>21</v>
      </c>
    </row>
    <row r="192" spans="1:9" x14ac:dyDescent="0.25">
      <c r="A192">
        <v>6169360</v>
      </c>
      <c r="B192" t="s">
        <v>18</v>
      </c>
      <c r="C192" t="s">
        <v>627</v>
      </c>
      <c r="D192" s="1">
        <v>45657</v>
      </c>
      <c r="E192" s="1">
        <v>45657</v>
      </c>
      <c r="F192" t="s">
        <v>469</v>
      </c>
      <c r="G192" s="2" t="s">
        <v>147</v>
      </c>
      <c r="H192" s="4">
        <v>0</v>
      </c>
      <c r="I192" t="s">
        <v>21</v>
      </c>
    </row>
    <row r="193" spans="1:9" x14ac:dyDescent="0.25">
      <c r="A193">
        <v>6169361</v>
      </c>
      <c r="B193" t="s">
        <v>18</v>
      </c>
      <c r="C193" t="s">
        <v>627</v>
      </c>
      <c r="D193" s="1">
        <v>45657</v>
      </c>
      <c r="E193" s="1">
        <v>45657</v>
      </c>
      <c r="F193" t="s">
        <v>470</v>
      </c>
      <c r="G193" s="14" t="s">
        <v>148</v>
      </c>
      <c r="H193" s="4">
        <v>0</v>
      </c>
      <c r="I193" t="s">
        <v>21</v>
      </c>
    </row>
    <row r="194" spans="1:9" x14ac:dyDescent="0.25">
      <c r="A194">
        <v>6169362</v>
      </c>
      <c r="B194" t="s">
        <v>18</v>
      </c>
      <c r="C194" t="s">
        <v>627</v>
      </c>
      <c r="D194" s="1">
        <v>45657</v>
      </c>
      <c r="E194" s="1">
        <v>45657</v>
      </c>
      <c r="F194" t="s">
        <v>471</v>
      </c>
      <c r="G194" s="14" t="s">
        <v>149</v>
      </c>
      <c r="H194" s="4">
        <v>0</v>
      </c>
      <c r="I194" t="s">
        <v>21</v>
      </c>
    </row>
    <row r="195" spans="1:9" x14ac:dyDescent="0.25">
      <c r="A195">
        <v>6169363</v>
      </c>
      <c r="B195" t="s">
        <v>18</v>
      </c>
      <c r="C195" t="s">
        <v>627</v>
      </c>
      <c r="D195" s="1">
        <v>45657</v>
      </c>
      <c r="E195" s="1">
        <v>45657</v>
      </c>
      <c r="F195" t="s">
        <v>472</v>
      </c>
      <c r="G195" s="14" t="s">
        <v>150</v>
      </c>
      <c r="H195" s="4">
        <v>0</v>
      </c>
      <c r="I195" t="s">
        <v>21</v>
      </c>
    </row>
    <row r="196" spans="1:9" x14ac:dyDescent="0.25">
      <c r="A196">
        <v>6169364</v>
      </c>
      <c r="B196" t="s">
        <v>18</v>
      </c>
      <c r="C196" t="s">
        <v>627</v>
      </c>
      <c r="D196" s="1">
        <v>45657</v>
      </c>
      <c r="E196" s="1">
        <v>45657</v>
      </c>
      <c r="F196" t="s">
        <v>473</v>
      </c>
      <c r="G196" s="14" t="s">
        <v>151</v>
      </c>
      <c r="H196" s="4">
        <v>0</v>
      </c>
      <c r="I196" t="s">
        <v>21</v>
      </c>
    </row>
    <row r="197" spans="1:9" x14ac:dyDescent="0.25">
      <c r="A197">
        <v>6169365</v>
      </c>
      <c r="B197" t="s">
        <v>18</v>
      </c>
      <c r="C197" t="s">
        <v>627</v>
      </c>
      <c r="D197" s="1">
        <v>45657</v>
      </c>
      <c r="E197" s="1">
        <v>45657</v>
      </c>
      <c r="F197" t="s">
        <v>474</v>
      </c>
      <c r="G197" s="14" t="s">
        <v>152</v>
      </c>
      <c r="H197" s="4">
        <v>0</v>
      </c>
      <c r="I197" t="s">
        <v>21</v>
      </c>
    </row>
    <row r="198" spans="1:9" x14ac:dyDescent="0.25">
      <c r="A198">
        <v>6169366</v>
      </c>
      <c r="B198" t="s">
        <v>18</v>
      </c>
      <c r="C198" t="s">
        <v>627</v>
      </c>
      <c r="D198" s="1">
        <v>45657</v>
      </c>
      <c r="E198" s="1">
        <v>45657</v>
      </c>
      <c r="F198" t="s">
        <v>475</v>
      </c>
      <c r="G198" s="14" t="s">
        <v>153</v>
      </c>
      <c r="H198" s="4">
        <v>0</v>
      </c>
      <c r="I198" t="s">
        <v>21</v>
      </c>
    </row>
    <row r="199" spans="1:9" x14ac:dyDescent="0.25">
      <c r="A199">
        <v>6169367</v>
      </c>
      <c r="B199" t="s">
        <v>18</v>
      </c>
      <c r="C199" t="s">
        <v>627</v>
      </c>
      <c r="D199" s="1">
        <v>45657</v>
      </c>
      <c r="E199" s="1">
        <v>45657</v>
      </c>
      <c r="F199" t="s">
        <v>476</v>
      </c>
      <c r="G199" s="14" t="s">
        <v>141</v>
      </c>
      <c r="H199" s="4">
        <v>0</v>
      </c>
      <c r="I199" t="s">
        <v>21</v>
      </c>
    </row>
    <row r="200" spans="1:9" x14ac:dyDescent="0.25">
      <c r="A200">
        <v>6169368</v>
      </c>
      <c r="B200" t="s">
        <v>18</v>
      </c>
      <c r="C200" t="s">
        <v>627</v>
      </c>
      <c r="D200" s="1">
        <v>45657</v>
      </c>
      <c r="E200" s="1">
        <v>45657</v>
      </c>
      <c r="F200" t="s">
        <v>477</v>
      </c>
      <c r="G200" s="14" t="s">
        <v>154</v>
      </c>
      <c r="H200" s="4">
        <v>0</v>
      </c>
      <c r="I200" t="s">
        <v>21</v>
      </c>
    </row>
    <row r="201" spans="1:9" x14ac:dyDescent="0.25">
      <c r="A201">
        <v>6169369</v>
      </c>
      <c r="B201" t="s">
        <v>18</v>
      </c>
      <c r="C201" t="s">
        <v>627</v>
      </c>
      <c r="D201" s="1">
        <v>45657</v>
      </c>
      <c r="E201" s="1">
        <v>45657</v>
      </c>
      <c r="F201" t="s">
        <v>478</v>
      </c>
      <c r="G201" s="14" t="s">
        <v>155</v>
      </c>
      <c r="H201" s="4">
        <v>0</v>
      </c>
      <c r="I201" t="s">
        <v>21</v>
      </c>
    </row>
    <row r="202" spans="1:9" x14ac:dyDescent="0.25">
      <c r="A202">
        <v>6169370</v>
      </c>
      <c r="B202" t="s">
        <v>18</v>
      </c>
      <c r="C202" t="s">
        <v>627</v>
      </c>
      <c r="D202" s="1">
        <v>45657</v>
      </c>
      <c r="E202" s="1">
        <v>45657</v>
      </c>
      <c r="F202" t="s">
        <v>479</v>
      </c>
      <c r="G202" s="14" t="s">
        <v>156</v>
      </c>
      <c r="H202" s="4">
        <v>-34854000</v>
      </c>
      <c r="I202" t="s">
        <v>21</v>
      </c>
    </row>
    <row r="203" spans="1:9" x14ac:dyDescent="0.25">
      <c r="A203">
        <v>6169371</v>
      </c>
      <c r="B203" t="s">
        <v>18</v>
      </c>
      <c r="C203" t="s">
        <v>627</v>
      </c>
      <c r="D203" s="1">
        <v>45657</v>
      </c>
      <c r="E203" s="1">
        <v>45657</v>
      </c>
      <c r="F203" t="s">
        <v>480</v>
      </c>
      <c r="G203" s="14" t="s">
        <v>157</v>
      </c>
      <c r="H203" s="4">
        <v>0</v>
      </c>
      <c r="I203" t="s">
        <v>21</v>
      </c>
    </row>
    <row r="204" spans="1:9" x14ac:dyDescent="0.25">
      <c r="A204">
        <v>6169372</v>
      </c>
      <c r="B204" t="s">
        <v>18</v>
      </c>
      <c r="C204" t="s">
        <v>627</v>
      </c>
      <c r="D204" s="1">
        <v>45657</v>
      </c>
      <c r="E204" s="1">
        <v>45657</v>
      </c>
      <c r="F204" t="s">
        <v>481</v>
      </c>
      <c r="G204" s="2" t="s">
        <v>158</v>
      </c>
      <c r="H204" s="4">
        <v>0</v>
      </c>
      <c r="I204" t="s">
        <v>21</v>
      </c>
    </row>
    <row r="205" spans="1:9" x14ac:dyDescent="0.25">
      <c r="A205">
        <v>6169373</v>
      </c>
      <c r="B205" t="s">
        <v>18</v>
      </c>
      <c r="C205" t="s">
        <v>627</v>
      </c>
      <c r="D205" s="1">
        <v>45657</v>
      </c>
      <c r="E205" s="1">
        <v>45657</v>
      </c>
      <c r="F205" t="s">
        <v>482</v>
      </c>
      <c r="G205" s="2" t="s">
        <v>159</v>
      </c>
      <c r="H205" s="4">
        <v>-67000</v>
      </c>
      <c r="I205" t="s">
        <v>21</v>
      </c>
    </row>
    <row r="206" spans="1:9" x14ac:dyDescent="0.25">
      <c r="A206">
        <v>6169374</v>
      </c>
      <c r="B206" t="s">
        <v>18</v>
      </c>
      <c r="C206" t="s">
        <v>627</v>
      </c>
      <c r="D206" s="1">
        <v>45657</v>
      </c>
      <c r="E206" s="1">
        <v>45657</v>
      </c>
      <c r="F206" t="s">
        <v>483</v>
      </c>
      <c r="G206" s="2" t="s">
        <v>160</v>
      </c>
      <c r="H206" s="4">
        <v>0</v>
      </c>
      <c r="I206" t="s">
        <v>21</v>
      </c>
    </row>
    <row r="207" spans="1:9" x14ac:dyDescent="0.25">
      <c r="A207">
        <v>6169375</v>
      </c>
      <c r="B207" t="s">
        <v>18</v>
      </c>
      <c r="C207" t="s">
        <v>627</v>
      </c>
      <c r="D207" s="1">
        <v>45292</v>
      </c>
      <c r="E207" s="1">
        <v>45657</v>
      </c>
      <c r="F207" t="s">
        <v>484</v>
      </c>
      <c r="G207" s="2" t="s">
        <v>161</v>
      </c>
      <c r="H207" s="4">
        <v>14349000</v>
      </c>
      <c r="I207" t="s">
        <v>21</v>
      </c>
    </row>
    <row r="208" spans="1:9" x14ac:dyDescent="0.25">
      <c r="A208">
        <v>6169376</v>
      </c>
      <c r="B208" t="s">
        <v>18</v>
      </c>
      <c r="C208" t="s">
        <v>627</v>
      </c>
      <c r="D208" s="1">
        <v>45292</v>
      </c>
      <c r="E208" s="1">
        <v>45657</v>
      </c>
      <c r="F208" t="s">
        <v>485</v>
      </c>
      <c r="G208" s="2" t="s">
        <v>162</v>
      </c>
      <c r="H208" s="4">
        <v>-9722000</v>
      </c>
      <c r="I208" t="s">
        <v>21</v>
      </c>
    </row>
    <row r="209" spans="1:9" x14ac:dyDescent="0.25">
      <c r="A209">
        <v>6169377</v>
      </c>
      <c r="B209" t="s">
        <v>18</v>
      </c>
      <c r="C209" t="s">
        <v>627</v>
      </c>
      <c r="D209" s="1">
        <v>45292</v>
      </c>
      <c r="E209" s="1">
        <v>45657</v>
      </c>
      <c r="F209" t="s">
        <v>486</v>
      </c>
      <c r="G209" s="13" t="s">
        <v>163</v>
      </c>
      <c r="H209" s="4">
        <v>4627000</v>
      </c>
      <c r="I209" t="s">
        <v>21</v>
      </c>
    </row>
    <row r="210" spans="1:9" x14ac:dyDescent="0.25">
      <c r="A210">
        <v>6169378</v>
      </c>
      <c r="B210" t="s">
        <v>18</v>
      </c>
      <c r="C210" t="s">
        <v>627</v>
      </c>
      <c r="D210" s="1">
        <v>45292</v>
      </c>
      <c r="E210" s="1">
        <v>45657</v>
      </c>
      <c r="F210" t="s">
        <v>487</v>
      </c>
      <c r="G210" s="13" t="s">
        <v>164</v>
      </c>
      <c r="H210" s="4">
        <v>-3977000</v>
      </c>
      <c r="I210" t="s">
        <v>21</v>
      </c>
    </row>
    <row r="211" spans="1:9" x14ac:dyDescent="0.25">
      <c r="A211">
        <v>6169379</v>
      </c>
      <c r="B211" t="s">
        <v>18</v>
      </c>
      <c r="C211" t="s">
        <v>627</v>
      </c>
      <c r="D211" s="1">
        <v>45292</v>
      </c>
      <c r="E211" s="1">
        <v>45657</v>
      </c>
      <c r="F211" t="s">
        <v>488</v>
      </c>
      <c r="G211" s="13" t="s">
        <v>165</v>
      </c>
      <c r="H211" s="4">
        <v>-3577000</v>
      </c>
      <c r="I211" t="s">
        <v>21</v>
      </c>
    </row>
    <row r="212" spans="1:9" x14ac:dyDescent="0.25">
      <c r="A212">
        <v>6169380</v>
      </c>
      <c r="B212" t="s">
        <v>18</v>
      </c>
      <c r="C212" t="s">
        <v>627</v>
      </c>
      <c r="D212" s="1">
        <v>45292</v>
      </c>
      <c r="E212" s="1">
        <v>45657</v>
      </c>
      <c r="F212" t="s">
        <v>489</v>
      </c>
      <c r="G212" s="13" t="s">
        <v>166</v>
      </c>
      <c r="H212" s="4">
        <v>-2137000</v>
      </c>
      <c r="I212" t="s">
        <v>21</v>
      </c>
    </row>
    <row r="213" spans="1:9" x14ac:dyDescent="0.25">
      <c r="A213">
        <v>6169381</v>
      </c>
      <c r="B213" t="s">
        <v>18</v>
      </c>
      <c r="C213" t="s">
        <v>627</v>
      </c>
      <c r="D213" s="1">
        <v>45292</v>
      </c>
      <c r="E213" s="1">
        <v>45657</v>
      </c>
      <c r="F213" t="s">
        <v>490</v>
      </c>
      <c r="G213" s="2" t="s">
        <v>167</v>
      </c>
      <c r="H213" s="4">
        <v>0</v>
      </c>
      <c r="I213" t="s">
        <v>21</v>
      </c>
    </row>
    <row r="214" spans="1:9" x14ac:dyDescent="0.25">
      <c r="A214">
        <v>6169382</v>
      </c>
      <c r="B214" t="s">
        <v>18</v>
      </c>
      <c r="C214" t="s">
        <v>627</v>
      </c>
      <c r="D214" s="1">
        <v>45292</v>
      </c>
      <c r="E214" s="1">
        <v>45657</v>
      </c>
      <c r="F214" t="s">
        <v>491</v>
      </c>
      <c r="G214" s="2" t="s">
        <v>168</v>
      </c>
      <c r="H214" s="4">
        <v>0</v>
      </c>
      <c r="I214" t="s">
        <v>21</v>
      </c>
    </row>
    <row r="215" spans="1:9" x14ac:dyDescent="0.25">
      <c r="A215">
        <v>6169383</v>
      </c>
      <c r="B215" t="s">
        <v>18</v>
      </c>
      <c r="C215" t="s">
        <v>627</v>
      </c>
      <c r="D215" s="1">
        <v>45292</v>
      </c>
      <c r="E215" s="1">
        <v>45657</v>
      </c>
      <c r="F215" t="s">
        <v>492</v>
      </c>
      <c r="G215" s="2" t="s">
        <v>169</v>
      </c>
      <c r="H215" s="4">
        <v>1735000</v>
      </c>
      <c r="I215" t="s">
        <v>21</v>
      </c>
    </row>
    <row r="216" spans="1:9" x14ac:dyDescent="0.25">
      <c r="A216">
        <v>6169384</v>
      </c>
      <c r="B216" t="s">
        <v>18</v>
      </c>
      <c r="C216" t="s">
        <v>627</v>
      </c>
      <c r="D216" s="1">
        <v>45292</v>
      </c>
      <c r="E216" s="1">
        <v>45657</v>
      </c>
      <c r="F216" t="s">
        <v>493</v>
      </c>
      <c r="G216" s="2" t="s">
        <v>170</v>
      </c>
      <c r="H216" s="4">
        <v>0</v>
      </c>
      <c r="I216" t="s">
        <v>21</v>
      </c>
    </row>
    <row r="217" spans="1:9" x14ac:dyDescent="0.25">
      <c r="A217">
        <v>6169385</v>
      </c>
      <c r="B217" t="s">
        <v>18</v>
      </c>
      <c r="C217" t="s">
        <v>627</v>
      </c>
      <c r="D217" s="1">
        <v>45292</v>
      </c>
      <c r="E217" s="1">
        <v>45657</v>
      </c>
      <c r="F217" t="s">
        <v>494</v>
      </c>
      <c r="G217" s="2" t="s">
        <v>171</v>
      </c>
      <c r="H217" s="4">
        <v>1735000</v>
      </c>
      <c r="I217" t="s">
        <v>21</v>
      </c>
    </row>
    <row r="218" spans="1:9" x14ac:dyDescent="0.25">
      <c r="A218">
        <v>6169386</v>
      </c>
      <c r="B218" t="s">
        <v>18</v>
      </c>
      <c r="C218" t="s">
        <v>627</v>
      </c>
      <c r="D218" s="1">
        <v>45292</v>
      </c>
      <c r="E218" s="1">
        <v>45657</v>
      </c>
      <c r="F218" t="s">
        <v>495</v>
      </c>
      <c r="G218" s="14" t="s">
        <v>172</v>
      </c>
      <c r="H218" s="4">
        <v>2000</v>
      </c>
      <c r="I218" t="s">
        <v>21</v>
      </c>
    </row>
    <row r="219" spans="1:9" x14ac:dyDescent="0.25">
      <c r="A219">
        <v>6169387</v>
      </c>
      <c r="B219" t="s">
        <v>18</v>
      </c>
      <c r="C219" t="s">
        <v>627</v>
      </c>
      <c r="D219" s="1">
        <v>45292</v>
      </c>
      <c r="E219" s="1">
        <v>45657</v>
      </c>
      <c r="F219" t="s">
        <v>496</v>
      </c>
      <c r="G219" s="14" t="s">
        <v>173</v>
      </c>
      <c r="H219" s="4">
        <v>650000</v>
      </c>
      <c r="I219" t="s">
        <v>21</v>
      </c>
    </row>
    <row r="220" spans="1:9" x14ac:dyDescent="0.25">
      <c r="A220">
        <v>6169388</v>
      </c>
      <c r="B220" t="s">
        <v>18</v>
      </c>
      <c r="C220" t="s">
        <v>627</v>
      </c>
      <c r="D220" s="1">
        <v>45292</v>
      </c>
      <c r="E220" s="1">
        <v>45657</v>
      </c>
      <c r="F220" t="s">
        <v>497</v>
      </c>
      <c r="G220" s="2" t="s">
        <v>174</v>
      </c>
      <c r="H220" s="4">
        <v>12319000</v>
      </c>
      <c r="I220" t="s">
        <v>21</v>
      </c>
    </row>
    <row r="221" spans="1:9" x14ac:dyDescent="0.25">
      <c r="A221">
        <v>6169389</v>
      </c>
      <c r="B221" t="s">
        <v>18</v>
      </c>
      <c r="C221" t="s">
        <v>627</v>
      </c>
      <c r="D221" s="1">
        <v>45292</v>
      </c>
      <c r="E221" s="1">
        <v>45657</v>
      </c>
      <c r="F221" t="s">
        <v>498</v>
      </c>
      <c r="G221" s="13" t="s">
        <v>175</v>
      </c>
      <c r="H221" s="4">
        <v>16697000</v>
      </c>
      <c r="I221" t="s">
        <v>21</v>
      </c>
    </row>
    <row r="222" spans="1:9" x14ac:dyDescent="0.25">
      <c r="A222">
        <v>6169390</v>
      </c>
      <c r="B222" t="s">
        <v>18</v>
      </c>
      <c r="C222" t="s">
        <v>627</v>
      </c>
      <c r="D222" s="1">
        <v>45292</v>
      </c>
      <c r="E222" s="1">
        <v>45657</v>
      </c>
      <c r="F222" t="s">
        <v>499</v>
      </c>
      <c r="G222" s="13" t="s">
        <v>176</v>
      </c>
      <c r="H222" s="4">
        <v>-4378000</v>
      </c>
      <c r="I222" t="s">
        <v>21</v>
      </c>
    </row>
    <row r="223" spans="1:9" x14ac:dyDescent="0.25">
      <c r="A223">
        <v>6169391</v>
      </c>
      <c r="B223" t="s">
        <v>18</v>
      </c>
      <c r="C223" t="s">
        <v>627</v>
      </c>
      <c r="D223" s="1">
        <v>45292</v>
      </c>
      <c r="E223" s="1">
        <v>45657</v>
      </c>
      <c r="F223" t="s">
        <v>500</v>
      </c>
      <c r="G223" s="2" t="s">
        <v>177</v>
      </c>
      <c r="H223" s="4">
        <v>12969000</v>
      </c>
      <c r="I223" t="s">
        <v>21</v>
      </c>
    </row>
    <row r="224" spans="1:9" x14ac:dyDescent="0.25">
      <c r="A224">
        <v>6169392</v>
      </c>
      <c r="B224" t="s">
        <v>18</v>
      </c>
      <c r="C224" t="s">
        <v>627</v>
      </c>
      <c r="D224" s="1">
        <v>45292</v>
      </c>
      <c r="E224" s="1">
        <v>45657</v>
      </c>
      <c r="F224" t="s">
        <v>501</v>
      </c>
      <c r="G224" s="2" t="s">
        <v>178</v>
      </c>
      <c r="H224" s="4">
        <v>-4717000</v>
      </c>
      <c r="I224" t="s">
        <v>21</v>
      </c>
    </row>
    <row r="225" spans="1:9" x14ac:dyDescent="0.25">
      <c r="A225">
        <v>6169393</v>
      </c>
      <c r="B225" t="s">
        <v>18</v>
      </c>
      <c r="C225" t="s">
        <v>627</v>
      </c>
      <c r="D225" s="1">
        <v>45292</v>
      </c>
      <c r="E225" s="1">
        <v>45657</v>
      </c>
      <c r="F225" t="s">
        <v>502</v>
      </c>
      <c r="G225" s="13" t="s">
        <v>179</v>
      </c>
      <c r="H225" s="4">
        <v>-38000</v>
      </c>
      <c r="I225" t="s">
        <v>21</v>
      </c>
    </row>
    <row r="226" spans="1:9" x14ac:dyDescent="0.25">
      <c r="A226">
        <v>6169394</v>
      </c>
      <c r="B226" t="s">
        <v>18</v>
      </c>
      <c r="C226" t="s">
        <v>627</v>
      </c>
      <c r="D226" s="1">
        <v>45292</v>
      </c>
      <c r="E226" s="1">
        <v>45657</v>
      </c>
      <c r="F226" t="s">
        <v>503</v>
      </c>
      <c r="G226" s="13" t="s">
        <v>180</v>
      </c>
      <c r="H226" s="4">
        <v>-4679000</v>
      </c>
      <c r="I226" t="s">
        <v>21</v>
      </c>
    </row>
    <row r="227" spans="1:9" x14ac:dyDescent="0.25">
      <c r="A227">
        <v>6169395</v>
      </c>
      <c r="B227" t="s">
        <v>18</v>
      </c>
      <c r="C227" t="s">
        <v>627</v>
      </c>
      <c r="D227" s="1">
        <v>45292</v>
      </c>
      <c r="E227" s="1">
        <v>45657</v>
      </c>
      <c r="F227" t="s">
        <v>504</v>
      </c>
      <c r="G227" s="2" t="s">
        <v>181</v>
      </c>
      <c r="H227" s="4">
        <v>8252000</v>
      </c>
      <c r="I227" t="s">
        <v>21</v>
      </c>
    </row>
    <row r="228" spans="1:9" x14ac:dyDescent="0.25">
      <c r="A228">
        <v>6169396</v>
      </c>
      <c r="B228" t="s">
        <v>18</v>
      </c>
      <c r="C228" t="s">
        <v>627</v>
      </c>
      <c r="D228" s="1">
        <v>45292</v>
      </c>
      <c r="E228" s="1">
        <v>45657</v>
      </c>
      <c r="F228" t="s">
        <v>505</v>
      </c>
      <c r="G228" s="2" t="s">
        <v>182</v>
      </c>
      <c r="H228" s="4">
        <v>29000</v>
      </c>
      <c r="I228" t="s">
        <v>21</v>
      </c>
    </row>
    <row r="229" spans="1:9" x14ac:dyDescent="0.25">
      <c r="A229">
        <v>6169397</v>
      </c>
      <c r="B229" t="s">
        <v>18</v>
      </c>
      <c r="C229" t="s">
        <v>627</v>
      </c>
      <c r="D229" s="1">
        <v>45292</v>
      </c>
      <c r="E229" s="1">
        <v>45657</v>
      </c>
      <c r="F229" t="s">
        <v>506</v>
      </c>
      <c r="G229" s="13" t="s">
        <v>183</v>
      </c>
      <c r="H229" s="4">
        <v>29000</v>
      </c>
      <c r="I229" t="s">
        <v>21</v>
      </c>
    </row>
    <row r="230" spans="1:9" x14ac:dyDescent="0.25">
      <c r="A230">
        <v>6169398</v>
      </c>
      <c r="B230" t="s">
        <v>18</v>
      </c>
      <c r="C230" t="s">
        <v>627</v>
      </c>
      <c r="D230" s="1">
        <v>45292</v>
      </c>
      <c r="E230" s="1">
        <v>45657</v>
      </c>
      <c r="F230" t="s">
        <v>507</v>
      </c>
      <c r="G230" s="13" t="s">
        <v>184</v>
      </c>
      <c r="H230" s="4">
        <v>0</v>
      </c>
      <c r="I230" t="s">
        <v>21</v>
      </c>
    </row>
    <row r="231" spans="1:9" x14ac:dyDescent="0.25">
      <c r="A231">
        <v>6169399</v>
      </c>
      <c r="B231" t="s">
        <v>18</v>
      </c>
      <c r="C231" t="s">
        <v>627</v>
      </c>
      <c r="D231" s="1">
        <v>45292</v>
      </c>
      <c r="E231" s="1">
        <v>45657</v>
      </c>
      <c r="F231" t="s">
        <v>508</v>
      </c>
      <c r="G231" s="2" t="s">
        <v>185</v>
      </c>
      <c r="H231" s="4">
        <v>8281000</v>
      </c>
      <c r="I231" t="s">
        <v>21</v>
      </c>
    </row>
    <row r="232" spans="1:9" x14ac:dyDescent="0.25">
      <c r="A232">
        <v>6169400</v>
      </c>
      <c r="B232" t="s">
        <v>18</v>
      </c>
      <c r="C232" t="s">
        <v>627</v>
      </c>
      <c r="D232" s="1">
        <v>45292</v>
      </c>
      <c r="E232" s="1">
        <v>45657</v>
      </c>
      <c r="F232" t="s">
        <v>509</v>
      </c>
      <c r="G232" s="2" t="s">
        <v>186</v>
      </c>
      <c r="H232" s="4">
        <v>8281000</v>
      </c>
      <c r="I232" t="s">
        <v>21</v>
      </c>
    </row>
    <row r="233" spans="1:9" x14ac:dyDescent="0.25">
      <c r="A233">
        <v>6169401</v>
      </c>
      <c r="B233" t="s">
        <v>18</v>
      </c>
      <c r="C233" t="s">
        <v>627</v>
      </c>
      <c r="D233" s="1">
        <v>45292</v>
      </c>
      <c r="E233" s="1">
        <v>45657</v>
      </c>
      <c r="F233" t="s">
        <v>510</v>
      </c>
      <c r="G233" s="13" t="s">
        <v>187</v>
      </c>
      <c r="H233" s="4">
        <v>0</v>
      </c>
      <c r="I233" t="s">
        <v>21</v>
      </c>
    </row>
    <row r="234" spans="1:9" x14ac:dyDescent="0.25">
      <c r="A234">
        <v>6169402</v>
      </c>
      <c r="B234" t="s">
        <v>18</v>
      </c>
      <c r="C234" t="s">
        <v>627</v>
      </c>
      <c r="D234" s="1">
        <v>45292</v>
      </c>
      <c r="E234" s="1">
        <v>45657</v>
      </c>
      <c r="F234" t="s">
        <v>511</v>
      </c>
      <c r="G234" s="2" t="s">
        <v>188</v>
      </c>
      <c r="H234" s="4">
        <v>0</v>
      </c>
      <c r="I234" t="s">
        <v>21</v>
      </c>
    </row>
    <row r="235" spans="1:9" x14ac:dyDescent="0.25">
      <c r="A235">
        <v>6169403</v>
      </c>
      <c r="B235" t="s">
        <v>18</v>
      </c>
      <c r="C235" t="s">
        <v>627</v>
      </c>
      <c r="D235" s="1">
        <v>45292</v>
      </c>
      <c r="E235" s="1">
        <v>45657</v>
      </c>
      <c r="F235" t="s">
        <v>512</v>
      </c>
      <c r="G235" s="2" t="s">
        <v>189</v>
      </c>
      <c r="H235" s="4">
        <v>0</v>
      </c>
      <c r="I235" t="s">
        <v>21</v>
      </c>
    </row>
    <row r="236" spans="1:9" x14ac:dyDescent="0.25">
      <c r="A236">
        <v>6169404</v>
      </c>
      <c r="B236" t="s">
        <v>18</v>
      </c>
      <c r="C236" t="s">
        <v>627</v>
      </c>
      <c r="D236" s="1">
        <v>45292</v>
      </c>
      <c r="E236" s="1">
        <v>45657</v>
      </c>
      <c r="F236" t="s">
        <v>513</v>
      </c>
      <c r="G236" s="13" t="s">
        <v>190</v>
      </c>
      <c r="H236" s="4">
        <v>0</v>
      </c>
      <c r="I236" t="s">
        <v>21</v>
      </c>
    </row>
    <row r="237" spans="1:9" x14ac:dyDescent="0.25">
      <c r="A237">
        <v>6169405</v>
      </c>
      <c r="B237" t="s">
        <v>18</v>
      </c>
      <c r="C237" t="s">
        <v>627</v>
      </c>
      <c r="D237" s="1">
        <v>45292</v>
      </c>
      <c r="E237" s="1">
        <v>45657</v>
      </c>
      <c r="F237" t="s">
        <v>514</v>
      </c>
      <c r="G237" s="2" t="s">
        <v>191</v>
      </c>
      <c r="H237" s="4">
        <v>0</v>
      </c>
      <c r="I237" t="s">
        <v>21</v>
      </c>
    </row>
    <row r="238" spans="1:9" x14ac:dyDescent="0.25">
      <c r="A238">
        <v>6169406</v>
      </c>
      <c r="B238" t="s">
        <v>18</v>
      </c>
      <c r="C238" t="s">
        <v>627</v>
      </c>
      <c r="D238" s="1">
        <v>45292</v>
      </c>
      <c r="E238" s="1">
        <v>45657</v>
      </c>
      <c r="F238" t="s">
        <v>515</v>
      </c>
      <c r="G238" s="14" t="s">
        <v>190</v>
      </c>
      <c r="H238" s="4">
        <v>0</v>
      </c>
      <c r="I238" t="s">
        <v>21</v>
      </c>
    </row>
    <row r="239" spans="1:9" x14ac:dyDescent="0.25">
      <c r="A239">
        <v>6169407</v>
      </c>
      <c r="B239" t="s">
        <v>18</v>
      </c>
      <c r="C239" t="s">
        <v>627</v>
      </c>
      <c r="D239" s="1">
        <v>45292</v>
      </c>
      <c r="E239" s="1">
        <v>45657</v>
      </c>
      <c r="F239" t="s">
        <v>516</v>
      </c>
      <c r="G239" s="2" t="s">
        <v>192</v>
      </c>
      <c r="H239" s="4">
        <v>-3547000</v>
      </c>
      <c r="I239" t="s">
        <v>21</v>
      </c>
    </row>
    <row r="240" spans="1:9" x14ac:dyDescent="0.25">
      <c r="A240">
        <v>6169408</v>
      </c>
      <c r="B240" t="s">
        <v>18</v>
      </c>
      <c r="C240" t="s">
        <v>627</v>
      </c>
      <c r="D240" s="1">
        <v>45292</v>
      </c>
      <c r="E240" s="1">
        <v>45657</v>
      </c>
      <c r="F240" t="s">
        <v>517</v>
      </c>
      <c r="G240" s="14" t="s">
        <v>193</v>
      </c>
      <c r="H240" s="4">
        <v>-946000</v>
      </c>
      <c r="I240" t="s">
        <v>21</v>
      </c>
    </row>
    <row r="241" spans="1:9" x14ac:dyDescent="0.25">
      <c r="A241">
        <v>6169409</v>
      </c>
      <c r="B241" t="s">
        <v>18</v>
      </c>
      <c r="C241" t="s">
        <v>627</v>
      </c>
      <c r="D241" s="1">
        <v>45292</v>
      </c>
      <c r="E241" s="1">
        <v>45657</v>
      </c>
      <c r="F241" t="s">
        <v>518</v>
      </c>
      <c r="G241" s="13" t="s">
        <v>628</v>
      </c>
      <c r="H241" s="4">
        <v>8252000</v>
      </c>
      <c r="I241" t="s">
        <v>21</v>
      </c>
    </row>
    <row r="242" spans="1:9" x14ac:dyDescent="0.25">
      <c r="A242">
        <v>6169410</v>
      </c>
      <c r="B242" t="s">
        <v>18</v>
      </c>
      <c r="C242" t="s">
        <v>627</v>
      </c>
      <c r="D242" s="1">
        <v>45292</v>
      </c>
      <c r="E242" s="1">
        <v>45657</v>
      </c>
      <c r="F242" t="s">
        <v>519</v>
      </c>
      <c r="G242" s="2" t="s">
        <v>202</v>
      </c>
      <c r="H242" s="4">
        <v>-486000</v>
      </c>
      <c r="I242" t="s">
        <v>21</v>
      </c>
    </row>
    <row r="243" spans="1:9" x14ac:dyDescent="0.25">
      <c r="A243">
        <v>6169411</v>
      </c>
      <c r="B243" t="s">
        <v>18</v>
      </c>
      <c r="C243" t="s">
        <v>627</v>
      </c>
      <c r="D243" s="1">
        <v>45292</v>
      </c>
      <c r="E243" s="1">
        <v>45657</v>
      </c>
      <c r="F243" t="s">
        <v>520</v>
      </c>
      <c r="G243" s="14" t="s">
        <v>629</v>
      </c>
      <c r="H243" s="4">
        <v>1010000</v>
      </c>
      <c r="I243" t="s">
        <v>21</v>
      </c>
    </row>
    <row r="244" spans="1:9" x14ac:dyDescent="0.25">
      <c r="A244">
        <v>6169412</v>
      </c>
      <c r="B244" t="s">
        <v>18</v>
      </c>
      <c r="C244" t="s">
        <v>627</v>
      </c>
      <c r="D244" s="1">
        <v>45292</v>
      </c>
      <c r="E244" s="1">
        <v>45657</v>
      </c>
      <c r="F244" t="s">
        <v>521</v>
      </c>
      <c r="G244" s="14" t="s">
        <v>630</v>
      </c>
      <c r="H244" s="4">
        <v>4717000</v>
      </c>
      <c r="I244" t="s">
        <v>21</v>
      </c>
    </row>
    <row r="245" spans="1:9" x14ac:dyDescent="0.25">
      <c r="A245">
        <v>6169413</v>
      </c>
      <c r="B245" t="s">
        <v>18</v>
      </c>
      <c r="C245" t="s">
        <v>627</v>
      </c>
      <c r="D245" s="1">
        <v>45292</v>
      </c>
      <c r="E245" s="1">
        <v>45657</v>
      </c>
      <c r="F245" t="s">
        <v>522</v>
      </c>
      <c r="G245" s="14" t="s">
        <v>631</v>
      </c>
      <c r="H245" s="4">
        <v>-2135000</v>
      </c>
      <c r="I245" t="s">
        <v>21</v>
      </c>
    </row>
    <row r="246" spans="1:9" x14ac:dyDescent="0.25">
      <c r="A246">
        <v>6169414</v>
      </c>
      <c r="B246" t="s">
        <v>18</v>
      </c>
      <c r="C246" t="s">
        <v>627</v>
      </c>
      <c r="D246" s="1">
        <v>45292</v>
      </c>
      <c r="E246" s="1">
        <v>45657</v>
      </c>
      <c r="F246" t="s">
        <v>523</v>
      </c>
      <c r="G246" s="14" t="s">
        <v>632</v>
      </c>
      <c r="H246" s="4">
        <v>356000</v>
      </c>
      <c r="I246" t="s">
        <v>21</v>
      </c>
    </row>
    <row r="247" spans="1:9" x14ac:dyDescent="0.25">
      <c r="A247">
        <v>6169415</v>
      </c>
      <c r="B247" t="s">
        <v>18</v>
      </c>
      <c r="C247" t="s">
        <v>627</v>
      </c>
      <c r="D247" s="1">
        <v>45292</v>
      </c>
      <c r="E247" s="1">
        <v>45657</v>
      </c>
      <c r="F247" t="s">
        <v>524</v>
      </c>
      <c r="G247" s="14" t="s">
        <v>44</v>
      </c>
      <c r="H247" s="4">
        <v>538000</v>
      </c>
      <c r="I247" t="s">
        <v>21</v>
      </c>
    </row>
    <row r="248" spans="1:9" x14ac:dyDescent="0.25">
      <c r="A248">
        <v>6169416</v>
      </c>
      <c r="B248" t="s">
        <v>18</v>
      </c>
      <c r="C248" t="s">
        <v>627</v>
      </c>
      <c r="D248" s="1">
        <v>45292</v>
      </c>
      <c r="E248" s="1">
        <v>45657</v>
      </c>
      <c r="F248" t="s">
        <v>525</v>
      </c>
      <c r="G248" s="14" t="s">
        <v>199</v>
      </c>
      <c r="H248" s="4">
        <v>-2000</v>
      </c>
      <c r="I248" t="s">
        <v>21</v>
      </c>
    </row>
    <row r="249" spans="1:9" x14ac:dyDescent="0.25">
      <c r="A249">
        <v>6169417</v>
      </c>
      <c r="B249" t="s">
        <v>18</v>
      </c>
      <c r="C249" t="s">
        <v>627</v>
      </c>
      <c r="D249" s="1">
        <v>45292</v>
      </c>
      <c r="E249" s="1">
        <v>45657</v>
      </c>
      <c r="F249" t="s">
        <v>526</v>
      </c>
      <c r="G249" s="14" t="s">
        <v>633</v>
      </c>
      <c r="H249" s="4">
        <v>582000</v>
      </c>
      <c r="I249" t="s">
        <v>21</v>
      </c>
    </row>
    <row r="250" spans="1:9" x14ac:dyDescent="0.25">
      <c r="A250">
        <v>6169418</v>
      </c>
      <c r="B250" t="s">
        <v>18</v>
      </c>
      <c r="C250" t="s">
        <v>627</v>
      </c>
      <c r="D250" s="1">
        <v>45292</v>
      </c>
      <c r="E250" s="1">
        <v>45657</v>
      </c>
      <c r="F250" t="s">
        <v>527</v>
      </c>
      <c r="G250" s="14" t="s">
        <v>201</v>
      </c>
      <c r="H250" s="4">
        <v>-688000</v>
      </c>
      <c r="I250" t="s">
        <v>21</v>
      </c>
    </row>
    <row r="251" spans="1:9" x14ac:dyDescent="0.25">
      <c r="A251">
        <v>6169419</v>
      </c>
      <c r="B251" t="s">
        <v>18</v>
      </c>
      <c r="C251" t="s">
        <v>627</v>
      </c>
      <c r="D251" s="1">
        <v>45292</v>
      </c>
      <c r="E251" s="1">
        <v>45657</v>
      </c>
      <c r="F251" t="s">
        <v>528</v>
      </c>
      <c r="G251" s="14" t="s">
        <v>204</v>
      </c>
      <c r="H251" s="4">
        <v>-13119000</v>
      </c>
      <c r="I251" t="s">
        <v>21</v>
      </c>
    </row>
    <row r="252" spans="1:9" x14ac:dyDescent="0.25">
      <c r="A252">
        <v>6169420</v>
      </c>
      <c r="B252" t="s">
        <v>18</v>
      </c>
      <c r="C252" t="s">
        <v>627</v>
      </c>
      <c r="D252" s="1">
        <v>45292</v>
      </c>
      <c r="E252" s="1">
        <v>45657</v>
      </c>
      <c r="F252" t="s">
        <v>634</v>
      </c>
      <c r="G252" s="14" t="s">
        <v>635</v>
      </c>
      <c r="H252" s="4">
        <v>29000</v>
      </c>
      <c r="I252" t="s">
        <v>21</v>
      </c>
    </row>
    <row r="253" spans="1:9" x14ac:dyDescent="0.25">
      <c r="A253">
        <v>6169421</v>
      </c>
      <c r="B253" t="s">
        <v>18</v>
      </c>
      <c r="C253" t="s">
        <v>627</v>
      </c>
      <c r="D253" s="1">
        <v>45292</v>
      </c>
      <c r="E253" s="1">
        <v>45657</v>
      </c>
      <c r="F253" t="s">
        <v>530</v>
      </c>
      <c r="G253" s="14" t="s">
        <v>205</v>
      </c>
      <c r="H253" s="4">
        <v>-2601000</v>
      </c>
      <c r="I253" t="s">
        <v>21</v>
      </c>
    </row>
    <row r="254" spans="1:9" x14ac:dyDescent="0.25">
      <c r="A254">
        <v>6169422</v>
      </c>
      <c r="B254" t="s">
        <v>18</v>
      </c>
      <c r="C254" t="s">
        <v>627</v>
      </c>
      <c r="D254" s="1">
        <v>45292</v>
      </c>
      <c r="E254" s="1">
        <v>45657</v>
      </c>
      <c r="F254" t="s">
        <v>531</v>
      </c>
      <c r="G254" s="14" t="s">
        <v>636</v>
      </c>
      <c r="H254" s="4">
        <v>221000</v>
      </c>
      <c r="I254" t="s">
        <v>21</v>
      </c>
    </row>
    <row r="255" spans="1:9" x14ac:dyDescent="0.25">
      <c r="A255">
        <v>6169423</v>
      </c>
      <c r="B255" t="s">
        <v>18</v>
      </c>
      <c r="C255" t="s">
        <v>627</v>
      </c>
      <c r="D255" s="1">
        <v>45292</v>
      </c>
      <c r="E255" s="1">
        <v>45657</v>
      </c>
      <c r="F255" t="s">
        <v>532</v>
      </c>
      <c r="G255" s="2" t="s">
        <v>34</v>
      </c>
      <c r="H255" s="4">
        <v>419000</v>
      </c>
      <c r="I255" t="s">
        <v>21</v>
      </c>
    </row>
    <row r="256" spans="1:9" x14ac:dyDescent="0.25">
      <c r="A256">
        <v>6169424</v>
      </c>
      <c r="B256" t="s">
        <v>18</v>
      </c>
      <c r="C256" t="s">
        <v>627</v>
      </c>
      <c r="D256" s="1">
        <v>45292</v>
      </c>
      <c r="E256" s="1">
        <v>45657</v>
      </c>
      <c r="F256" t="s">
        <v>533</v>
      </c>
      <c r="G256" s="14" t="s">
        <v>49</v>
      </c>
      <c r="H256" s="4">
        <v>611000</v>
      </c>
      <c r="I256" t="s">
        <v>21</v>
      </c>
    </row>
    <row r="257" spans="1:9" x14ac:dyDescent="0.25">
      <c r="A257">
        <v>6169425</v>
      </c>
      <c r="B257" t="s">
        <v>18</v>
      </c>
      <c r="C257" t="s">
        <v>627</v>
      </c>
      <c r="D257" s="1">
        <v>45292</v>
      </c>
      <c r="E257" s="1">
        <v>45657</v>
      </c>
      <c r="F257" t="s">
        <v>534</v>
      </c>
      <c r="G257" s="14" t="s">
        <v>208</v>
      </c>
      <c r="H257" s="4">
        <v>-52000</v>
      </c>
      <c r="I257" t="s">
        <v>21</v>
      </c>
    </row>
    <row r="258" spans="1:9" x14ac:dyDescent="0.25">
      <c r="A258">
        <v>6169426</v>
      </c>
      <c r="B258" t="s">
        <v>18</v>
      </c>
      <c r="C258" t="s">
        <v>627</v>
      </c>
      <c r="D258" s="1">
        <v>45292</v>
      </c>
      <c r="E258" s="1">
        <v>45657</v>
      </c>
      <c r="F258" t="s">
        <v>535</v>
      </c>
      <c r="G258" s="14" t="s">
        <v>48</v>
      </c>
      <c r="H258" s="4">
        <v>-132000</v>
      </c>
      <c r="I258" t="s">
        <v>21</v>
      </c>
    </row>
    <row r="259" spans="1:9" x14ac:dyDescent="0.25">
      <c r="A259">
        <v>6169427</v>
      </c>
      <c r="B259" t="s">
        <v>18</v>
      </c>
      <c r="C259" t="s">
        <v>627</v>
      </c>
      <c r="D259" s="1">
        <v>45292</v>
      </c>
      <c r="E259" s="1">
        <v>45657</v>
      </c>
      <c r="F259" t="s">
        <v>536</v>
      </c>
      <c r="G259" s="14" t="s">
        <v>637</v>
      </c>
      <c r="H259" s="4">
        <v>765000</v>
      </c>
      <c r="I259" t="s">
        <v>21</v>
      </c>
    </row>
    <row r="260" spans="1:9" x14ac:dyDescent="0.25">
      <c r="A260">
        <v>6169428</v>
      </c>
      <c r="B260" t="s">
        <v>18</v>
      </c>
      <c r="C260" t="s">
        <v>627</v>
      </c>
      <c r="D260" s="1">
        <v>45292</v>
      </c>
      <c r="E260" s="1">
        <v>45657</v>
      </c>
      <c r="F260" t="s">
        <v>537</v>
      </c>
      <c r="G260" s="14" t="s">
        <v>78</v>
      </c>
      <c r="H260" s="4">
        <v>-1911000</v>
      </c>
      <c r="I260" t="s">
        <v>21</v>
      </c>
    </row>
    <row r="261" spans="1:9" x14ac:dyDescent="0.25">
      <c r="A261">
        <v>6169429</v>
      </c>
      <c r="B261" t="s">
        <v>18</v>
      </c>
      <c r="C261" t="s">
        <v>627</v>
      </c>
      <c r="D261" s="1">
        <v>45292</v>
      </c>
      <c r="E261" s="1">
        <v>45657</v>
      </c>
      <c r="F261" t="s">
        <v>538</v>
      </c>
      <c r="G261" s="14" t="s">
        <v>638</v>
      </c>
      <c r="H261" s="4">
        <v>36000</v>
      </c>
      <c r="I261" t="s">
        <v>21</v>
      </c>
    </row>
    <row r="262" spans="1:9" x14ac:dyDescent="0.25">
      <c r="A262">
        <v>6169430</v>
      </c>
      <c r="B262" t="s">
        <v>18</v>
      </c>
      <c r="C262" t="s">
        <v>627</v>
      </c>
      <c r="D262" s="1">
        <v>45292</v>
      </c>
      <c r="E262" s="1">
        <v>45657</v>
      </c>
      <c r="F262" t="s">
        <v>539</v>
      </c>
      <c r="G262" s="14" t="s">
        <v>639</v>
      </c>
      <c r="H262" s="4">
        <v>-546000</v>
      </c>
      <c r="I262" t="s">
        <v>21</v>
      </c>
    </row>
    <row r="263" spans="1:9" x14ac:dyDescent="0.25">
      <c r="A263">
        <v>6169431</v>
      </c>
      <c r="B263" t="s">
        <v>18</v>
      </c>
      <c r="C263" t="s">
        <v>627</v>
      </c>
      <c r="D263" s="1">
        <v>45292</v>
      </c>
      <c r="E263" s="1">
        <v>45657</v>
      </c>
      <c r="F263" t="s">
        <v>540</v>
      </c>
      <c r="G263" s="14" t="s">
        <v>640</v>
      </c>
      <c r="H263" s="4">
        <v>0</v>
      </c>
      <c r="I263" t="s">
        <v>21</v>
      </c>
    </row>
    <row r="264" spans="1:9" x14ac:dyDescent="0.25">
      <c r="A264">
        <v>6169432</v>
      </c>
      <c r="B264" t="s">
        <v>18</v>
      </c>
      <c r="C264" t="s">
        <v>627</v>
      </c>
      <c r="D264" s="1">
        <v>45292</v>
      </c>
      <c r="E264" s="1">
        <v>45657</v>
      </c>
      <c r="F264" t="s">
        <v>541</v>
      </c>
      <c r="G264" s="14" t="s">
        <v>641</v>
      </c>
      <c r="H264" s="4">
        <v>-889000</v>
      </c>
      <c r="I264" t="s">
        <v>21</v>
      </c>
    </row>
    <row r="265" spans="1:9" x14ac:dyDescent="0.25">
      <c r="A265">
        <v>6169433</v>
      </c>
      <c r="B265" t="s">
        <v>18</v>
      </c>
      <c r="C265" t="s">
        <v>627</v>
      </c>
      <c r="D265" s="1">
        <v>45292</v>
      </c>
      <c r="E265" s="1">
        <v>45657</v>
      </c>
      <c r="F265" t="s">
        <v>542</v>
      </c>
      <c r="G265" s="14" t="s">
        <v>642</v>
      </c>
      <c r="H265" s="4">
        <v>0</v>
      </c>
      <c r="I265" t="s">
        <v>21</v>
      </c>
    </row>
    <row r="266" spans="1:9" x14ac:dyDescent="0.25">
      <c r="A266">
        <v>6169434</v>
      </c>
      <c r="B266" t="s">
        <v>18</v>
      </c>
      <c r="C266" t="s">
        <v>627</v>
      </c>
      <c r="D266" s="1">
        <v>45292</v>
      </c>
      <c r="E266" s="1">
        <v>45657</v>
      </c>
      <c r="F266" t="s">
        <v>543</v>
      </c>
      <c r="G266" s="14" t="s">
        <v>643</v>
      </c>
      <c r="H266" s="4">
        <v>-10000</v>
      </c>
      <c r="I266" t="s">
        <v>21</v>
      </c>
    </row>
    <row r="267" spans="1:9" x14ac:dyDescent="0.25">
      <c r="A267">
        <v>6169435</v>
      </c>
      <c r="B267" t="s">
        <v>18</v>
      </c>
      <c r="C267" t="s">
        <v>627</v>
      </c>
      <c r="D267" s="1">
        <v>45292</v>
      </c>
      <c r="E267" s="1">
        <v>45657</v>
      </c>
      <c r="F267" t="s">
        <v>544</v>
      </c>
      <c r="G267" s="14" t="s">
        <v>644</v>
      </c>
      <c r="H267" s="4">
        <v>-555000</v>
      </c>
      <c r="I267" t="s">
        <v>21</v>
      </c>
    </row>
    <row r="268" spans="1:9" x14ac:dyDescent="0.25">
      <c r="A268">
        <v>6169436</v>
      </c>
      <c r="B268" t="s">
        <v>18</v>
      </c>
      <c r="C268" t="s">
        <v>627</v>
      </c>
      <c r="D268" s="1">
        <v>45292</v>
      </c>
      <c r="E268" s="1">
        <v>45657</v>
      </c>
      <c r="F268" t="s">
        <v>545</v>
      </c>
      <c r="G268" s="14" t="s">
        <v>214</v>
      </c>
      <c r="H268" s="4">
        <v>-266000</v>
      </c>
      <c r="I268" t="s">
        <v>21</v>
      </c>
    </row>
    <row r="269" spans="1:9" x14ac:dyDescent="0.25">
      <c r="A269">
        <v>6169437</v>
      </c>
      <c r="B269" t="s">
        <v>18</v>
      </c>
      <c r="C269" t="s">
        <v>627</v>
      </c>
      <c r="D269" s="1">
        <v>45292</v>
      </c>
      <c r="E269" s="1">
        <v>45657</v>
      </c>
      <c r="F269" t="s">
        <v>546</v>
      </c>
      <c r="G269" s="14" t="s">
        <v>217</v>
      </c>
      <c r="H269" s="4">
        <v>0</v>
      </c>
      <c r="I269" t="s">
        <v>21</v>
      </c>
    </row>
    <row r="270" spans="1:9" x14ac:dyDescent="0.25">
      <c r="A270">
        <v>6169438</v>
      </c>
      <c r="B270" t="s">
        <v>18</v>
      </c>
      <c r="C270" t="s">
        <v>627</v>
      </c>
      <c r="D270" s="1">
        <v>45292</v>
      </c>
      <c r="E270" s="1">
        <v>45657</v>
      </c>
      <c r="F270" t="s">
        <v>645</v>
      </c>
      <c r="G270" s="14" t="s">
        <v>110</v>
      </c>
      <c r="H270" s="4">
        <v>0</v>
      </c>
      <c r="I270" t="s">
        <v>21</v>
      </c>
    </row>
    <row r="271" spans="1:9" x14ac:dyDescent="0.25">
      <c r="A271">
        <v>6169439</v>
      </c>
      <c r="B271" t="s">
        <v>18</v>
      </c>
      <c r="C271" t="s">
        <v>627</v>
      </c>
      <c r="D271" s="1">
        <v>45292</v>
      </c>
      <c r="E271" s="1">
        <v>45657</v>
      </c>
      <c r="F271" t="s">
        <v>547</v>
      </c>
      <c r="G271" s="14" t="s">
        <v>218</v>
      </c>
      <c r="H271" s="4">
        <v>-292000</v>
      </c>
      <c r="I271" t="s">
        <v>21</v>
      </c>
    </row>
    <row r="272" spans="1:9" x14ac:dyDescent="0.25">
      <c r="A272">
        <v>6169440</v>
      </c>
      <c r="B272" t="s">
        <v>18</v>
      </c>
      <c r="C272" t="s">
        <v>627</v>
      </c>
      <c r="D272" s="1">
        <v>45292</v>
      </c>
      <c r="E272" s="1">
        <v>45657</v>
      </c>
      <c r="F272" t="s">
        <v>548</v>
      </c>
      <c r="G272" s="14" t="s">
        <v>44</v>
      </c>
      <c r="H272" s="4">
        <v>0</v>
      </c>
      <c r="I272" t="s">
        <v>21</v>
      </c>
    </row>
    <row r="273" spans="1:9" x14ac:dyDescent="0.25">
      <c r="A273">
        <v>6169441</v>
      </c>
      <c r="B273" t="s">
        <v>18</v>
      </c>
      <c r="C273" t="s">
        <v>627</v>
      </c>
      <c r="D273" s="1">
        <v>45292</v>
      </c>
      <c r="E273" s="1">
        <v>45657</v>
      </c>
      <c r="F273" t="s">
        <v>549</v>
      </c>
      <c r="G273" s="2" t="s">
        <v>219</v>
      </c>
      <c r="H273" s="4">
        <v>1910000</v>
      </c>
      <c r="I273" t="s">
        <v>21</v>
      </c>
    </row>
    <row r="274" spans="1:9" x14ac:dyDescent="0.25">
      <c r="A274">
        <v>6169442</v>
      </c>
      <c r="B274" t="s">
        <v>18</v>
      </c>
      <c r="C274" t="s">
        <v>627</v>
      </c>
      <c r="D274" s="1">
        <v>45292</v>
      </c>
      <c r="E274" s="1">
        <v>45657</v>
      </c>
      <c r="F274" t="s">
        <v>550</v>
      </c>
      <c r="G274" s="13" t="s">
        <v>27</v>
      </c>
      <c r="H274" s="4">
        <v>1711000</v>
      </c>
      <c r="I274" t="s">
        <v>21</v>
      </c>
    </row>
    <row r="275" spans="1:9" x14ac:dyDescent="0.25">
      <c r="A275">
        <v>6169443</v>
      </c>
      <c r="B275" t="s">
        <v>18</v>
      </c>
      <c r="C275" t="s">
        <v>627</v>
      </c>
      <c r="D275" s="1">
        <v>45292</v>
      </c>
      <c r="E275" s="1">
        <v>45657</v>
      </c>
      <c r="F275" t="s">
        <v>551</v>
      </c>
      <c r="G275" s="2" t="s">
        <v>646</v>
      </c>
      <c r="H275" s="4">
        <v>0</v>
      </c>
      <c r="I275" t="s">
        <v>21</v>
      </c>
    </row>
    <row r="276" spans="1:9" x14ac:dyDescent="0.25">
      <c r="A276">
        <v>6169444</v>
      </c>
      <c r="B276" t="s">
        <v>18</v>
      </c>
      <c r="C276" t="s">
        <v>627</v>
      </c>
      <c r="D276" s="1">
        <v>45292</v>
      </c>
      <c r="E276" s="1">
        <v>45657</v>
      </c>
      <c r="F276" t="s">
        <v>552</v>
      </c>
      <c r="G276" s="2" t="s">
        <v>64</v>
      </c>
      <c r="H276" s="4">
        <v>-82000</v>
      </c>
      <c r="I276" t="s">
        <v>21</v>
      </c>
    </row>
    <row r="277" spans="1:9" x14ac:dyDescent="0.25">
      <c r="A277">
        <v>6169445</v>
      </c>
      <c r="B277" t="s">
        <v>18</v>
      </c>
      <c r="C277" t="s">
        <v>627</v>
      </c>
      <c r="D277" s="1">
        <v>45292</v>
      </c>
      <c r="E277" s="1">
        <v>45657</v>
      </c>
      <c r="F277" t="s">
        <v>553</v>
      </c>
      <c r="G277" s="2" t="s">
        <v>69</v>
      </c>
      <c r="H277" s="4">
        <v>-36000</v>
      </c>
      <c r="I277" t="s">
        <v>21</v>
      </c>
    </row>
    <row r="278" spans="1:9" x14ac:dyDescent="0.25">
      <c r="A278">
        <v>6169446</v>
      </c>
      <c r="B278" t="s">
        <v>18</v>
      </c>
      <c r="C278" t="s">
        <v>627</v>
      </c>
      <c r="D278" s="1">
        <v>45292</v>
      </c>
      <c r="E278" s="1">
        <v>45657</v>
      </c>
      <c r="F278" t="s">
        <v>647</v>
      </c>
      <c r="G278" s="2" t="s">
        <v>224</v>
      </c>
      <c r="H278" s="4">
        <v>0</v>
      </c>
      <c r="I278" t="s">
        <v>21</v>
      </c>
    </row>
    <row r="279" spans="1:9" x14ac:dyDescent="0.25">
      <c r="A279">
        <v>6169447</v>
      </c>
      <c r="B279" t="s">
        <v>18</v>
      </c>
      <c r="C279" t="s">
        <v>627</v>
      </c>
      <c r="D279" s="1">
        <v>45292</v>
      </c>
      <c r="E279" s="1">
        <v>45657</v>
      </c>
      <c r="F279" t="s">
        <v>554</v>
      </c>
      <c r="G279" s="2" t="s">
        <v>225</v>
      </c>
      <c r="H279" s="4">
        <v>0</v>
      </c>
      <c r="I279" t="s">
        <v>21</v>
      </c>
    </row>
    <row r="280" spans="1:9" x14ac:dyDescent="0.25">
      <c r="A280">
        <v>6169448</v>
      </c>
      <c r="B280" t="s">
        <v>18</v>
      </c>
      <c r="C280" t="s">
        <v>627</v>
      </c>
      <c r="D280" s="1">
        <v>45292</v>
      </c>
      <c r="E280" s="1">
        <v>45657</v>
      </c>
      <c r="F280" t="s">
        <v>555</v>
      </c>
      <c r="G280" s="2" t="s">
        <v>648</v>
      </c>
      <c r="H280" s="4">
        <v>0</v>
      </c>
      <c r="I280" t="s">
        <v>21</v>
      </c>
    </row>
    <row r="281" spans="1:9" x14ac:dyDescent="0.25">
      <c r="A281">
        <v>6169449</v>
      </c>
      <c r="B281" t="s">
        <v>18</v>
      </c>
      <c r="C281" t="s">
        <v>627</v>
      </c>
      <c r="D281" s="1">
        <v>45292</v>
      </c>
      <c r="E281" s="1">
        <v>45657</v>
      </c>
      <c r="F281" t="s">
        <v>556</v>
      </c>
      <c r="G281" s="2" t="s">
        <v>649</v>
      </c>
      <c r="H281" s="4">
        <v>0</v>
      </c>
      <c r="I281" t="s">
        <v>21</v>
      </c>
    </row>
    <row r="282" spans="1:9" x14ac:dyDescent="0.25">
      <c r="A282">
        <v>6169450</v>
      </c>
      <c r="B282" t="s">
        <v>18</v>
      </c>
      <c r="C282" t="s">
        <v>627</v>
      </c>
      <c r="D282" s="1">
        <v>45292</v>
      </c>
      <c r="E282" s="1">
        <v>45657</v>
      </c>
      <c r="F282" t="s">
        <v>557</v>
      </c>
      <c r="G282" s="2" t="s">
        <v>226</v>
      </c>
      <c r="H282" s="4">
        <v>0</v>
      </c>
      <c r="I282" t="s">
        <v>21</v>
      </c>
    </row>
    <row r="283" spans="1:9" x14ac:dyDescent="0.25">
      <c r="A283">
        <v>6169451</v>
      </c>
      <c r="B283" t="s">
        <v>18</v>
      </c>
      <c r="C283" t="s">
        <v>627</v>
      </c>
      <c r="D283" s="1">
        <v>45292</v>
      </c>
      <c r="E283" s="1">
        <v>45657</v>
      </c>
      <c r="F283" t="s">
        <v>558</v>
      </c>
      <c r="G283" s="2" t="s">
        <v>235</v>
      </c>
      <c r="H283" s="4">
        <v>0</v>
      </c>
      <c r="I283" t="s">
        <v>21</v>
      </c>
    </row>
    <row r="284" spans="1:9" x14ac:dyDescent="0.25">
      <c r="A284">
        <v>6169452</v>
      </c>
      <c r="B284" t="s">
        <v>18</v>
      </c>
      <c r="C284" t="s">
        <v>627</v>
      </c>
      <c r="D284" s="1">
        <v>45292</v>
      </c>
      <c r="E284" s="1">
        <v>45657</v>
      </c>
      <c r="F284" t="s">
        <v>559</v>
      </c>
      <c r="G284" s="2" t="s">
        <v>650</v>
      </c>
      <c r="H284" s="4">
        <v>317000</v>
      </c>
      <c r="I284" t="s">
        <v>21</v>
      </c>
    </row>
    <row r="285" spans="1:9" x14ac:dyDescent="0.25">
      <c r="A285">
        <v>6169453</v>
      </c>
      <c r="B285" t="s">
        <v>18</v>
      </c>
      <c r="C285" t="s">
        <v>627</v>
      </c>
      <c r="D285" s="1">
        <v>45292</v>
      </c>
      <c r="E285" s="1">
        <v>45657</v>
      </c>
      <c r="F285" t="s">
        <v>560</v>
      </c>
      <c r="G285" s="13" t="s">
        <v>229</v>
      </c>
      <c r="H285" s="4">
        <v>1033000</v>
      </c>
      <c r="I285" t="s">
        <v>21</v>
      </c>
    </row>
    <row r="286" spans="1:9" x14ac:dyDescent="0.25">
      <c r="A286">
        <v>6169454</v>
      </c>
      <c r="B286" t="s">
        <v>18</v>
      </c>
      <c r="C286" t="s">
        <v>627</v>
      </c>
      <c r="D286" s="1">
        <v>45292</v>
      </c>
      <c r="E286" s="1">
        <v>45657</v>
      </c>
      <c r="F286" t="s">
        <v>561</v>
      </c>
      <c r="G286" s="2" t="s">
        <v>651</v>
      </c>
      <c r="H286" s="4">
        <v>3502000</v>
      </c>
      <c r="I286" t="s">
        <v>21</v>
      </c>
    </row>
    <row r="287" spans="1:9" x14ac:dyDescent="0.25">
      <c r="A287">
        <v>6169455</v>
      </c>
      <c r="B287" t="s">
        <v>18</v>
      </c>
      <c r="C287" t="s">
        <v>627</v>
      </c>
      <c r="D287" s="1">
        <v>45292</v>
      </c>
      <c r="E287" s="1">
        <v>45657</v>
      </c>
      <c r="F287" t="s">
        <v>562</v>
      </c>
      <c r="G287" s="2" t="s">
        <v>652</v>
      </c>
      <c r="H287" s="4">
        <v>-2207000</v>
      </c>
      <c r="I287" t="s">
        <v>21</v>
      </c>
    </row>
    <row r="288" spans="1:9" x14ac:dyDescent="0.25">
      <c r="A288">
        <v>6169456</v>
      </c>
      <c r="B288" t="s">
        <v>18</v>
      </c>
      <c r="C288" t="s">
        <v>627</v>
      </c>
      <c r="D288" s="1">
        <v>45292</v>
      </c>
      <c r="E288" s="1">
        <v>45657</v>
      </c>
      <c r="F288" t="s">
        <v>563</v>
      </c>
      <c r="G288" s="2" t="s">
        <v>653</v>
      </c>
      <c r="H288" s="4">
        <v>1481000</v>
      </c>
      <c r="I288" t="s">
        <v>21</v>
      </c>
    </row>
    <row r="289" spans="1:9" x14ac:dyDescent="0.25">
      <c r="A289">
        <v>6169457</v>
      </c>
      <c r="B289" t="s">
        <v>18</v>
      </c>
      <c r="C289" t="s">
        <v>627</v>
      </c>
      <c r="D289" s="1">
        <v>45292</v>
      </c>
      <c r="E289" s="1">
        <v>45657</v>
      </c>
      <c r="F289" t="s">
        <v>564</v>
      </c>
      <c r="G289" s="2" t="s">
        <v>654</v>
      </c>
      <c r="H289" s="4">
        <v>0</v>
      </c>
      <c r="I289" t="s">
        <v>21</v>
      </c>
    </row>
    <row r="290" spans="1:9" x14ac:dyDescent="0.25">
      <c r="A290">
        <v>6169458</v>
      </c>
      <c r="B290" t="s">
        <v>18</v>
      </c>
      <c r="C290" t="s">
        <v>627</v>
      </c>
      <c r="D290" s="1">
        <v>45292</v>
      </c>
      <c r="E290" s="1">
        <v>45657</v>
      </c>
      <c r="F290" t="s">
        <v>565</v>
      </c>
      <c r="G290" s="2" t="s">
        <v>232</v>
      </c>
      <c r="H290" s="4">
        <v>-433000</v>
      </c>
      <c r="I290" t="s">
        <v>21</v>
      </c>
    </row>
    <row r="291" spans="1:9" x14ac:dyDescent="0.25">
      <c r="A291">
        <v>6169459</v>
      </c>
      <c r="B291" t="s">
        <v>18</v>
      </c>
      <c r="C291" t="s">
        <v>627</v>
      </c>
      <c r="D291" s="1">
        <v>45292</v>
      </c>
      <c r="E291" s="1">
        <v>45657</v>
      </c>
      <c r="F291" t="s">
        <v>566</v>
      </c>
      <c r="G291" s="2" t="s">
        <v>234</v>
      </c>
      <c r="H291" s="4">
        <v>0</v>
      </c>
      <c r="I291" t="s">
        <v>21</v>
      </c>
    </row>
    <row r="292" spans="1:9" x14ac:dyDescent="0.25">
      <c r="A292">
        <v>6169460</v>
      </c>
      <c r="B292" t="s">
        <v>18</v>
      </c>
      <c r="C292" t="s">
        <v>627</v>
      </c>
      <c r="D292" s="1">
        <v>45292</v>
      </c>
      <c r="E292" s="1">
        <v>45657</v>
      </c>
      <c r="F292" t="s">
        <v>567</v>
      </c>
      <c r="G292" s="2" t="s">
        <v>235</v>
      </c>
      <c r="H292" s="4">
        <v>0</v>
      </c>
      <c r="I292" t="s">
        <v>21</v>
      </c>
    </row>
    <row r="293" spans="1:9" x14ac:dyDescent="0.25">
      <c r="A293">
        <v>6169461</v>
      </c>
      <c r="B293" t="s">
        <v>18</v>
      </c>
      <c r="C293" t="s">
        <v>627</v>
      </c>
      <c r="D293" s="1">
        <v>45292</v>
      </c>
      <c r="E293" s="1">
        <v>45657</v>
      </c>
      <c r="F293" t="s">
        <v>568</v>
      </c>
      <c r="G293" s="2" t="s">
        <v>655</v>
      </c>
      <c r="H293" s="4">
        <v>0</v>
      </c>
      <c r="I293" t="s">
        <v>21</v>
      </c>
    </row>
    <row r="294" spans="1:9" x14ac:dyDescent="0.25">
      <c r="A294">
        <v>6169462</v>
      </c>
      <c r="B294" t="s">
        <v>18</v>
      </c>
      <c r="C294" t="s">
        <v>627</v>
      </c>
      <c r="D294" s="1">
        <v>45292</v>
      </c>
      <c r="E294" s="1">
        <v>45657</v>
      </c>
      <c r="F294" t="s">
        <v>569</v>
      </c>
      <c r="G294" s="2" t="s">
        <v>236</v>
      </c>
      <c r="H294" s="4">
        <v>0</v>
      </c>
      <c r="I294" t="s">
        <v>21</v>
      </c>
    </row>
    <row r="295" spans="1:9" x14ac:dyDescent="0.25">
      <c r="A295">
        <v>6169463</v>
      </c>
      <c r="B295" t="s">
        <v>18</v>
      </c>
      <c r="C295" t="s">
        <v>627</v>
      </c>
      <c r="D295" s="1">
        <v>45292</v>
      </c>
      <c r="E295" s="1">
        <v>45657</v>
      </c>
      <c r="F295" t="s">
        <v>570</v>
      </c>
      <c r="G295" s="2" t="s">
        <v>238</v>
      </c>
      <c r="H295" s="4">
        <v>0</v>
      </c>
      <c r="I295" t="s">
        <v>21</v>
      </c>
    </row>
    <row r="296" spans="1:9" x14ac:dyDescent="0.25">
      <c r="A296">
        <v>6169464</v>
      </c>
      <c r="B296" t="s">
        <v>18</v>
      </c>
      <c r="C296" t="s">
        <v>627</v>
      </c>
      <c r="D296" s="1">
        <v>45292</v>
      </c>
      <c r="E296" s="1">
        <v>45657</v>
      </c>
      <c r="F296" t="s">
        <v>571</v>
      </c>
      <c r="G296" s="2" t="s">
        <v>237</v>
      </c>
      <c r="H296" s="4">
        <v>0</v>
      </c>
      <c r="I296" t="s">
        <v>21</v>
      </c>
    </row>
    <row r="297" spans="1:9" x14ac:dyDescent="0.25">
      <c r="A297">
        <v>6169465</v>
      </c>
      <c r="B297" t="s">
        <v>18</v>
      </c>
      <c r="C297" t="s">
        <v>627</v>
      </c>
      <c r="D297" s="1">
        <v>45292</v>
      </c>
      <c r="E297" s="1">
        <v>45657</v>
      </c>
      <c r="F297" t="s">
        <v>572</v>
      </c>
      <c r="G297" s="2" t="s">
        <v>110</v>
      </c>
      <c r="H297" s="4">
        <v>-1310000</v>
      </c>
      <c r="I297" t="s">
        <v>21</v>
      </c>
    </row>
    <row r="298" spans="1:9" x14ac:dyDescent="0.25">
      <c r="A298">
        <v>6169466</v>
      </c>
      <c r="B298" t="s">
        <v>18</v>
      </c>
      <c r="C298" t="s">
        <v>627</v>
      </c>
      <c r="D298" s="1">
        <v>45292</v>
      </c>
      <c r="E298" s="1">
        <v>45657</v>
      </c>
      <c r="F298" t="s">
        <v>574</v>
      </c>
      <c r="G298" s="2" t="s">
        <v>239</v>
      </c>
      <c r="H298" s="4">
        <v>0</v>
      </c>
      <c r="I298" t="s">
        <v>21</v>
      </c>
    </row>
    <row r="299" spans="1:9" x14ac:dyDescent="0.25">
      <c r="A299">
        <v>6169467</v>
      </c>
      <c r="B299" t="s">
        <v>18</v>
      </c>
      <c r="C299" t="s">
        <v>627</v>
      </c>
      <c r="D299" s="1">
        <v>45292</v>
      </c>
      <c r="E299" s="1">
        <v>45657</v>
      </c>
      <c r="F299" t="s">
        <v>575</v>
      </c>
      <c r="G299" s="13" t="s">
        <v>240</v>
      </c>
      <c r="H299" s="4">
        <v>-604000</v>
      </c>
      <c r="I299" t="s">
        <v>21</v>
      </c>
    </row>
    <row r="300" spans="1:9" x14ac:dyDescent="0.25">
      <c r="A300">
        <v>6169468</v>
      </c>
      <c r="B300" t="s">
        <v>18</v>
      </c>
      <c r="C300" t="s">
        <v>627</v>
      </c>
      <c r="D300" s="1">
        <v>45292</v>
      </c>
      <c r="E300" s="1">
        <v>45657</v>
      </c>
      <c r="F300" t="s">
        <v>576</v>
      </c>
      <c r="G300" s="13" t="s">
        <v>241</v>
      </c>
      <c r="H300" s="4">
        <v>1733000</v>
      </c>
      <c r="I300" t="s">
        <v>21</v>
      </c>
    </row>
    <row r="301" spans="1:9" x14ac:dyDescent="0.25">
      <c r="A301">
        <v>6169469</v>
      </c>
      <c r="B301" t="s">
        <v>18</v>
      </c>
      <c r="C301" t="s">
        <v>627</v>
      </c>
      <c r="D301" s="1">
        <v>45292</v>
      </c>
      <c r="E301" s="1">
        <v>45657</v>
      </c>
      <c r="F301" t="s">
        <v>577</v>
      </c>
      <c r="G301" s="2" t="s">
        <v>242</v>
      </c>
      <c r="H301" s="4">
        <v>1129000</v>
      </c>
      <c r="I301" t="s">
        <v>21</v>
      </c>
    </row>
    <row r="302" spans="1:9" x14ac:dyDescent="0.25">
      <c r="A302">
        <v>6169470</v>
      </c>
      <c r="B302" t="s">
        <v>18</v>
      </c>
      <c r="C302" t="s">
        <v>627</v>
      </c>
      <c r="D302" s="1">
        <v>45292</v>
      </c>
      <c r="E302" s="1">
        <v>45657</v>
      </c>
      <c r="F302" t="s">
        <v>578</v>
      </c>
      <c r="G302" s="2" t="s">
        <v>243</v>
      </c>
      <c r="H302" s="4">
        <v>19508000</v>
      </c>
      <c r="I302" t="s">
        <v>21</v>
      </c>
    </row>
    <row r="303" spans="1:9" x14ac:dyDescent="0.25">
      <c r="A303">
        <v>6169471</v>
      </c>
      <c r="B303" t="s">
        <v>18</v>
      </c>
      <c r="C303" t="s">
        <v>627</v>
      </c>
      <c r="D303" s="1">
        <v>45292</v>
      </c>
      <c r="E303" s="1">
        <v>45657</v>
      </c>
      <c r="F303" t="s">
        <v>579</v>
      </c>
      <c r="G303" s="13" t="s">
        <v>244</v>
      </c>
      <c r="H303" s="4">
        <v>16824000</v>
      </c>
      <c r="I303" t="s">
        <v>21</v>
      </c>
    </row>
    <row r="304" spans="1:9" x14ac:dyDescent="0.25">
      <c r="A304">
        <v>6169472</v>
      </c>
      <c r="B304" t="s">
        <v>18</v>
      </c>
      <c r="C304" t="s">
        <v>627</v>
      </c>
      <c r="D304" s="1">
        <v>45292</v>
      </c>
      <c r="E304" s="1">
        <v>45657</v>
      </c>
      <c r="F304" t="s">
        <v>580</v>
      </c>
      <c r="G304" s="2" t="s">
        <v>245</v>
      </c>
      <c r="H304" s="4">
        <v>2321000</v>
      </c>
      <c r="I304" t="s">
        <v>21</v>
      </c>
    </row>
    <row r="305" spans="1:9" x14ac:dyDescent="0.25">
      <c r="A305">
        <v>6169473</v>
      </c>
      <c r="B305" t="s">
        <v>18</v>
      </c>
      <c r="C305" t="s">
        <v>627</v>
      </c>
      <c r="D305" s="1">
        <v>45292</v>
      </c>
      <c r="E305" s="1">
        <v>45657</v>
      </c>
      <c r="F305" t="s">
        <v>581</v>
      </c>
      <c r="G305" s="2" t="s">
        <v>246</v>
      </c>
      <c r="H305" s="4">
        <v>0</v>
      </c>
      <c r="I305" t="s">
        <v>21</v>
      </c>
    </row>
    <row r="306" spans="1:9" x14ac:dyDescent="0.25">
      <c r="A306">
        <v>6169474</v>
      </c>
      <c r="B306" t="s">
        <v>18</v>
      </c>
      <c r="C306" t="s">
        <v>627</v>
      </c>
      <c r="D306" s="1">
        <v>45292</v>
      </c>
      <c r="E306" s="1">
        <v>45657</v>
      </c>
      <c r="F306" t="s">
        <v>582</v>
      </c>
      <c r="G306" s="2" t="s">
        <v>247</v>
      </c>
      <c r="H306" s="4">
        <v>363000</v>
      </c>
      <c r="I306" t="s">
        <v>21</v>
      </c>
    </row>
    <row r="307" spans="1:9" x14ac:dyDescent="0.25">
      <c r="A307">
        <v>6169475</v>
      </c>
      <c r="B307" t="s">
        <v>18</v>
      </c>
      <c r="C307" t="s">
        <v>627</v>
      </c>
      <c r="D307" s="1">
        <v>45292</v>
      </c>
      <c r="E307" s="1">
        <v>45657</v>
      </c>
      <c r="F307" t="s">
        <v>583</v>
      </c>
      <c r="G307" s="2" t="s">
        <v>248</v>
      </c>
      <c r="H307" s="4">
        <v>-14593000</v>
      </c>
      <c r="I307" t="s">
        <v>21</v>
      </c>
    </row>
    <row r="308" spans="1:9" x14ac:dyDescent="0.25">
      <c r="A308">
        <v>6169476</v>
      </c>
      <c r="B308" t="s">
        <v>18</v>
      </c>
      <c r="C308" t="s">
        <v>627</v>
      </c>
      <c r="D308" s="1">
        <v>45292</v>
      </c>
      <c r="E308" s="1">
        <v>45657</v>
      </c>
      <c r="F308" t="s">
        <v>584</v>
      </c>
      <c r="G308" s="13" t="s">
        <v>249</v>
      </c>
      <c r="H308" s="4">
        <v>-12264000</v>
      </c>
      <c r="I308" t="s">
        <v>21</v>
      </c>
    </row>
    <row r="309" spans="1:9" x14ac:dyDescent="0.25">
      <c r="A309">
        <v>6169477</v>
      </c>
      <c r="B309" t="s">
        <v>18</v>
      </c>
      <c r="C309" t="s">
        <v>627</v>
      </c>
      <c r="D309" s="1">
        <v>45292</v>
      </c>
      <c r="E309" s="1">
        <v>45657</v>
      </c>
      <c r="F309" t="s">
        <v>585</v>
      </c>
      <c r="G309" s="2" t="s">
        <v>250</v>
      </c>
      <c r="H309" s="4">
        <v>-2329000</v>
      </c>
      <c r="I309" t="s">
        <v>21</v>
      </c>
    </row>
    <row r="310" spans="1:9" x14ac:dyDescent="0.25">
      <c r="A310">
        <v>6169478</v>
      </c>
      <c r="B310" t="s">
        <v>18</v>
      </c>
      <c r="C310" t="s">
        <v>627</v>
      </c>
      <c r="D310" s="1">
        <v>45292</v>
      </c>
      <c r="E310" s="1">
        <v>45657</v>
      </c>
      <c r="F310" t="s">
        <v>586</v>
      </c>
      <c r="G310" s="2" t="s">
        <v>251</v>
      </c>
      <c r="H310" s="4">
        <v>0</v>
      </c>
      <c r="I310" t="s">
        <v>21</v>
      </c>
    </row>
    <row r="311" spans="1:9" x14ac:dyDescent="0.25">
      <c r="A311">
        <v>6169479</v>
      </c>
      <c r="B311" t="s">
        <v>18</v>
      </c>
      <c r="C311" t="s">
        <v>627</v>
      </c>
      <c r="D311" s="1">
        <v>45292</v>
      </c>
      <c r="E311" s="1">
        <v>45657</v>
      </c>
      <c r="F311" t="s">
        <v>587</v>
      </c>
      <c r="G311" s="2" t="s">
        <v>44</v>
      </c>
      <c r="H311" s="4">
        <v>0</v>
      </c>
      <c r="I311" t="s">
        <v>21</v>
      </c>
    </row>
    <row r="312" spans="1:9" x14ac:dyDescent="0.25">
      <c r="A312">
        <v>6169480</v>
      </c>
      <c r="B312" t="s">
        <v>18</v>
      </c>
      <c r="C312" t="s">
        <v>627</v>
      </c>
      <c r="D312" s="1">
        <v>45292</v>
      </c>
      <c r="E312" s="1">
        <v>45657</v>
      </c>
      <c r="F312" t="s">
        <v>588</v>
      </c>
      <c r="G312" s="2" t="s">
        <v>252</v>
      </c>
      <c r="H312" s="4">
        <v>4915000</v>
      </c>
      <c r="I312" t="s">
        <v>21</v>
      </c>
    </row>
    <row r="313" spans="1:9" x14ac:dyDescent="0.25">
      <c r="A313">
        <v>6169481</v>
      </c>
      <c r="B313" t="s">
        <v>18</v>
      </c>
      <c r="C313" t="s">
        <v>627</v>
      </c>
      <c r="D313" s="1">
        <v>45292</v>
      </c>
      <c r="E313" s="1">
        <v>45657</v>
      </c>
      <c r="F313" t="s">
        <v>589</v>
      </c>
      <c r="G313" s="13" t="s">
        <v>253</v>
      </c>
      <c r="H313" s="4">
        <v>-1371000</v>
      </c>
      <c r="I313" t="s">
        <v>21</v>
      </c>
    </row>
    <row r="314" spans="1:9" x14ac:dyDescent="0.25">
      <c r="A314">
        <v>6169482</v>
      </c>
      <c r="B314" t="s">
        <v>18</v>
      </c>
      <c r="C314" t="s">
        <v>627</v>
      </c>
      <c r="D314" s="1">
        <v>45292</v>
      </c>
      <c r="E314" s="1">
        <v>45657</v>
      </c>
      <c r="F314" t="s">
        <v>590</v>
      </c>
      <c r="G314" s="13" t="s">
        <v>254</v>
      </c>
      <c r="H314" s="4">
        <v>-1010000</v>
      </c>
      <c r="I314" t="s">
        <v>21</v>
      </c>
    </row>
    <row r="315" spans="1:9" x14ac:dyDescent="0.25">
      <c r="A315">
        <v>6169483</v>
      </c>
      <c r="B315" t="s">
        <v>18</v>
      </c>
      <c r="C315" t="s">
        <v>627</v>
      </c>
      <c r="D315" s="1">
        <v>45292</v>
      </c>
      <c r="E315" s="1">
        <v>45657</v>
      </c>
      <c r="F315" t="s">
        <v>591</v>
      </c>
      <c r="G315" s="2" t="s">
        <v>255</v>
      </c>
      <c r="H315" s="4">
        <v>-361000</v>
      </c>
      <c r="I315" t="s">
        <v>21</v>
      </c>
    </row>
    <row r="316" spans="1:9" x14ac:dyDescent="0.25">
      <c r="A316">
        <v>6169484</v>
      </c>
      <c r="B316" t="s">
        <v>18</v>
      </c>
      <c r="C316" t="s">
        <v>627</v>
      </c>
      <c r="D316" s="1">
        <v>45292</v>
      </c>
      <c r="E316" s="1">
        <v>45657</v>
      </c>
      <c r="F316" t="s">
        <v>592</v>
      </c>
      <c r="G316" s="2" t="s">
        <v>256</v>
      </c>
      <c r="H316" s="4">
        <v>-361000</v>
      </c>
      <c r="I316" t="s">
        <v>21</v>
      </c>
    </row>
    <row r="317" spans="1:9" x14ac:dyDescent="0.25">
      <c r="A317">
        <v>6169485</v>
      </c>
      <c r="B317" t="s">
        <v>18</v>
      </c>
      <c r="C317" t="s">
        <v>627</v>
      </c>
      <c r="D317" s="1">
        <v>45292</v>
      </c>
      <c r="E317" s="1">
        <v>45657</v>
      </c>
      <c r="F317" t="s">
        <v>593</v>
      </c>
      <c r="G317" s="14" t="s">
        <v>257</v>
      </c>
      <c r="H317" s="4">
        <v>3544000</v>
      </c>
      <c r="I317" t="s">
        <v>21</v>
      </c>
    </row>
    <row r="318" spans="1:9" x14ac:dyDescent="0.25">
      <c r="A318">
        <v>6169486</v>
      </c>
      <c r="B318" t="s">
        <v>18</v>
      </c>
      <c r="C318" t="s">
        <v>627</v>
      </c>
      <c r="D318" s="1">
        <v>45292</v>
      </c>
      <c r="E318" s="1">
        <v>45657</v>
      </c>
      <c r="F318" t="s">
        <v>594</v>
      </c>
      <c r="G318" s="13" t="s">
        <v>258</v>
      </c>
      <c r="H318" s="4">
        <v>16699000</v>
      </c>
      <c r="I318" t="s">
        <v>21</v>
      </c>
    </row>
    <row r="319" spans="1:9" x14ac:dyDescent="0.25">
      <c r="A319">
        <v>6169487</v>
      </c>
      <c r="B319" t="s">
        <v>18</v>
      </c>
      <c r="C319" t="s">
        <v>627</v>
      </c>
      <c r="D319" s="1">
        <v>45292</v>
      </c>
      <c r="E319" s="1">
        <v>45657</v>
      </c>
      <c r="F319" t="s">
        <v>595</v>
      </c>
      <c r="G319" s="13" t="s">
        <v>172</v>
      </c>
      <c r="H319" s="4">
        <v>2000</v>
      </c>
      <c r="I319" t="s">
        <v>21</v>
      </c>
    </row>
    <row r="320" spans="1:9" x14ac:dyDescent="0.25">
      <c r="A320">
        <v>6169488</v>
      </c>
      <c r="B320" t="s">
        <v>18</v>
      </c>
      <c r="C320" t="s">
        <v>627</v>
      </c>
      <c r="D320" s="1">
        <v>45292</v>
      </c>
      <c r="E320" s="1">
        <v>45657</v>
      </c>
      <c r="F320" t="s">
        <v>596</v>
      </c>
      <c r="G320" s="2" t="s">
        <v>175</v>
      </c>
      <c r="H320" s="4">
        <v>16697000</v>
      </c>
      <c r="I320" t="s">
        <v>21</v>
      </c>
    </row>
    <row r="321" spans="1:9" x14ac:dyDescent="0.25">
      <c r="A321">
        <v>6169489</v>
      </c>
      <c r="B321" t="s">
        <v>18</v>
      </c>
      <c r="C321" t="s">
        <v>627</v>
      </c>
      <c r="D321" s="1">
        <v>45292</v>
      </c>
      <c r="E321" s="1">
        <v>45657</v>
      </c>
      <c r="F321" t="s">
        <v>597</v>
      </c>
      <c r="G321" s="2" t="s">
        <v>44</v>
      </c>
      <c r="H321" s="4">
        <v>0</v>
      </c>
      <c r="I321" t="s">
        <v>21</v>
      </c>
    </row>
    <row r="322" spans="1:9" x14ac:dyDescent="0.25">
      <c r="A322">
        <v>6169490</v>
      </c>
      <c r="B322" t="s">
        <v>18</v>
      </c>
      <c r="C322" t="s">
        <v>627</v>
      </c>
      <c r="D322" s="1">
        <v>45292</v>
      </c>
      <c r="E322" s="1">
        <v>45657</v>
      </c>
      <c r="F322" t="s">
        <v>598</v>
      </c>
      <c r="G322" s="2" t="s">
        <v>259</v>
      </c>
      <c r="H322" s="4">
        <v>20243000</v>
      </c>
      <c r="I322" t="s">
        <v>21</v>
      </c>
    </row>
    <row r="323" spans="1:9" x14ac:dyDescent="0.25">
      <c r="A323">
        <v>6169491</v>
      </c>
      <c r="B323" t="s">
        <v>18</v>
      </c>
      <c r="C323" t="s">
        <v>627</v>
      </c>
      <c r="D323" s="1">
        <v>45292</v>
      </c>
      <c r="E323" s="1">
        <v>45657</v>
      </c>
      <c r="F323" t="s">
        <v>599</v>
      </c>
      <c r="G323" s="13" t="s">
        <v>260</v>
      </c>
      <c r="H323" s="4">
        <v>20243000</v>
      </c>
      <c r="I323" t="s">
        <v>21</v>
      </c>
    </row>
    <row r="324" spans="1:9" x14ac:dyDescent="0.25">
      <c r="A324">
        <v>6169492</v>
      </c>
      <c r="B324" t="s">
        <v>18</v>
      </c>
      <c r="C324" t="s">
        <v>627</v>
      </c>
      <c r="D324" s="1">
        <v>45292</v>
      </c>
      <c r="E324" s="1">
        <v>45657</v>
      </c>
      <c r="F324" t="s">
        <v>600</v>
      </c>
      <c r="G324" s="13" t="s">
        <v>261</v>
      </c>
      <c r="H324" s="4">
        <v>1996000</v>
      </c>
      <c r="I324" t="s">
        <v>21</v>
      </c>
    </row>
    <row r="325" spans="1:9" x14ac:dyDescent="0.25">
      <c r="A325">
        <v>6169493</v>
      </c>
      <c r="B325" t="s">
        <v>18</v>
      </c>
      <c r="C325" t="s">
        <v>627</v>
      </c>
      <c r="D325" s="1">
        <v>45292</v>
      </c>
      <c r="E325" s="1">
        <v>45657</v>
      </c>
      <c r="F325" t="s">
        <v>601</v>
      </c>
      <c r="G325" s="2" t="s">
        <v>262</v>
      </c>
      <c r="H325" s="4">
        <v>1663000</v>
      </c>
      <c r="I325" t="s">
        <v>21</v>
      </c>
    </row>
    <row r="326" spans="1:9" x14ac:dyDescent="0.25">
      <c r="A326">
        <v>6169494</v>
      </c>
      <c r="B326" t="s">
        <v>18</v>
      </c>
      <c r="C326" t="s">
        <v>627</v>
      </c>
      <c r="D326" s="1">
        <v>45292</v>
      </c>
      <c r="E326" s="1">
        <v>45657</v>
      </c>
      <c r="F326" t="s">
        <v>602</v>
      </c>
      <c r="G326" s="14" t="s">
        <v>263</v>
      </c>
      <c r="H326" s="4">
        <v>195000</v>
      </c>
      <c r="I326" t="s">
        <v>21</v>
      </c>
    </row>
    <row r="327" spans="1:9" x14ac:dyDescent="0.25">
      <c r="A327">
        <v>6169495</v>
      </c>
      <c r="B327" t="s">
        <v>18</v>
      </c>
      <c r="C327" t="s">
        <v>627</v>
      </c>
      <c r="D327" s="1">
        <v>45292</v>
      </c>
      <c r="E327" s="1">
        <v>45657</v>
      </c>
      <c r="F327" t="s">
        <v>603</v>
      </c>
      <c r="G327" s="14" t="s">
        <v>264</v>
      </c>
      <c r="H327" s="4">
        <v>138000</v>
      </c>
      <c r="I327" t="s">
        <v>21</v>
      </c>
    </row>
    <row r="328" spans="1:9" x14ac:dyDescent="0.25">
      <c r="A328">
        <v>6169496</v>
      </c>
      <c r="B328" t="s">
        <v>18</v>
      </c>
      <c r="C328" t="s">
        <v>627</v>
      </c>
      <c r="D328" s="1">
        <v>45292</v>
      </c>
      <c r="E328" s="1">
        <v>45657</v>
      </c>
      <c r="F328" t="s">
        <v>604</v>
      </c>
      <c r="G328" s="14" t="s">
        <v>44</v>
      </c>
      <c r="H328" s="4">
        <v>0</v>
      </c>
      <c r="I328" t="s">
        <v>21</v>
      </c>
    </row>
    <row r="329" spans="1:9" x14ac:dyDescent="0.25">
      <c r="A329">
        <v>6169497</v>
      </c>
      <c r="B329" t="s">
        <v>18</v>
      </c>
      <c r="C329" t="s">
        <v>627</v>
      </c>
      <c r="D329" s="1">
        <v>45292</v>
      </c>
      <c r="E329" s="1">
        <v>45657</v>
      </c>
      <c r="F329" t="s">
        <v>605</v>
      </c>
      <c r="G329" s="14" t="s">
        <v>265</v>
      </c>
      <c r="H329" s="4">
        <v>5402000</v>
      </c>
      <c r="I329" t="s">
        <v>21</v>
      </c>
    </row>
    <row r="330" spans="1:9" x14ac:dyDescent="0.25">
      <c r="A330">
        <v>6169498</v>
      </c>
      <c r="B330" t="s">
        <v>18</v>
      </c>
      <c r="C330" t="s">
        <v>627</v>
      </c>
      <c r="D330" s="1">
        <v>45292</v>
      </c>
      <c r="E330" s="1">
        <v>45657</v>
      </c>
      <c r="F330" t="s">
        <v>606</v>
      </c>
      <c r="G330" s="2" t="s">
        <v>266</v>
      </c>
      <c r="H330" s="4">
        <v>4120000</v>
      </c>
      <c r="I330" t="s">
        <v>21</v>
      </c>
    </row>
    <row r="331" spans="1:9" x14ac:dyDescent="0.25">
      <c r="A331">
        <v>6169499</v>
      </c>
      <c r="B331" t="s">
        <v>18</v>
      </c>
      <c r="C331" t="s">
        <v>627</v>
      </c>
      <c r="D331" s="1">
        <v>45292</v>
      </c>
      <c r="E331" s="1">
        <v>45657</v>
      </c>
      <c r="F331" t="s">
        <v>607</v>
      </c>
      <c r="G331" s="14" t="s">
        <v>267</v>
      </c>
      <c r="H331" s="4">
        <v>1185000</v>
      </c>
      <c r="I331" t="s">
        <v>21</v>
      </c>
    </row>
    <row r="332" spans="1:9" x14ac:dyDescent="0.25">
      <c r="A332">
        <v>6169500</v>
      </c>
      <c r="B332" t="s">
        <v>18</v>
      </c>
      <c r="C332" t="s">
        <v>627</v>
      </c>
      <c r="D332" s="1">
        <v>45292</v>
      </c>
      <c r="E332" s="1">
        <v>45657</v>
      </c>
      <c r="F332" t="s">
        <v>608</v>
      </c>
      <c r="G332" s="14" t="s">
        <v>268</v>
      </c>
      <c r="H332" s="4">
        <v>97000</v>
      </c>
      <c r="I332" t="s">
        <v>21</v>
      </c>
    </row>
    <row r="333" spans="1:9" x14ac:dyDescent="0.25">
      <c r="A333">
        <v>6169501</v>
      </c>
      <c r="B333" t="s">
        <v>18</v>
      </c>
      <c r="C333" t="s">
        <v>627</v>
      </c>
      <c r="D333" s="1">
        <v>45292</v>
      </c>
      <c r="E333" s="1">
        <v>45657</v>
      </c>
      <c r="F333" t="s">
        <v>609</v>
      </c>
      <c r="G333" s="14" t="s">
        <v>269</v>
      </c>
      <c r="H333" s="4">
        <v>4564000</v>
      </c>
      <c r="I333" t="s">
        <v>21</v>
      </c>
    </row>
    <row r="334" spans="1:9" x14ac:dyDescent="0.25">
      <c r="A334">
        <v>6169502</v>
      </c>
      <c r="B334" t="s">
        <v>18</v>
      </c>
      <c r="C334" t="s">
        <v>627</v>
      </c>
      <c r="D334" s="1">
        <v>45292</v>
      </c>
      <c r="E334" s="1">
        <v>45657</v>
      </c>
      <c r="F334" t="s">
        <v>610</v>
      </c>
      <c r="G334" s="2" t="s">
        <v>270</v>
      </c>
      <c r="H334" s="4">
        <v>4378000</v>
      </c>
      <c r="I334" t="s">
        <v>21</v>
      </c>
    </row>
    <row r="335" spans="1:9" x14ac:dyDescent="0.25">
      <c r="A335">
        <v>6169503</v>
      </c>
      <c r="B335" t="s">
        <v>18</v>
      </c>
      <c r="C335" t="s">
        <v>627</v>
      </c>
      <c r="D335" s="1">
        <v>45292</v>
      </c>
      <c r="E335" s="1">
        <v>45657</v>
      </c>
      <c r="F335" t="s">
        <v>611</v>
      </c>
      <c r="G335" s="14" t="s">
        <v>271</v>
      </c>
      <c r="H335" s="4">
        <v>144000</v>
      </c>
      <c r="I335" t="s">
        <v>21</v>
      </c>
    </row>
    <row r="336" spans="1:9" x14ac:dyDescent="0.25">
      <c r="A336">
        <v>6169504</v>
      </c>
      <c r="B336" t="s">
        <v>18</v>
      </c>
      <c r="C336" t="s">
        <v>627</v>
      </c>
      <c r="D336" s="1">
        <v>45292</v>
      </c>
      <c r="E336" s="1">
        <v>45657</v>
      </c>
      <c r="F336" t="s">
        <v>612</v>
      </c>
      <c r="G336" s="14" t="s">
        <v>255</v>
      </c>
      <c r="H336" s="4">
        <v>42000</v>
      </c>
      <c r="I336" t="s">
        <v>21</v>
      </c>
    </row>
    <row r="337" spans="1:9" x14ac:dyDescent="0.25">
      <c r="A337">
        <v>6169505</v>
      </c>
      <c r="B337" t="s">
        <v>18</v>
      </c>
      <c r="C337" t="s">
        <v>627</v>
      </c>
      <c r="D337" s="1">
        <v>45292</v>
      </c>
      <c r="E337" s="1">
        <v>45657</v>
      </c>
      <c r="F337" t="s">
        <v>613</v>
      </c>
      <c r="G337" s="14" t="s">
        <v>272</v>
      </c>
      <c r="H337" s="4">
        <v>8252000</v>
      </c>
      <c r="I337" t="s">
        <v>21</v>
      </c>
    </row>
    <row r="338" spans="1:9" x14ac:dyDescent="0.25">
      <c r="A338">
        <v>6169506</v>
      </c>
      <c r="B338" t="s">
        <v>18</v>
      </c>
      <c r="C338" t="s">
        <v>627</v>
      </c>
      <c r="D338" s="1">
        <v>45292</v>
      </c>
      <c r="E338" s="1">
        <v>45657</v>
      </c>
      <c r="F338" t="s">
        <v>614</v>
      </c>
      <c r="G338" s="2" t="s">
        <v>273</v>
      </c>
      <c r="H338" s="4">
        <v>0</v>
      </c>
      <c r="I338" t="s">
        <v>21</v>
      </c>
    </row>
    <row r="339" spans="1:9" x14ac:dyDescent="0.25">
      <c r="A339">
        <v>6169507</v>
      </c>
      <c r="B339" t="s">
        <v>18</v>
      </c>
      <c r="C339" t="s">
        <v>627</v>
      </c>
      <c r="D339" s="1">
        <v>45292</v>
      </c>
      <c r="E339" s="1">
        <v>45657</v>
      </c>
      <c r="F339" t="s">
        <v>615</v>
      </c>
      <c r="G339" s="14" t="s">
        <v>235</v>
      </c>
      <c r="H339" s="4">
        <v>0</v>
      </c>
      <c r="I339" t="s">
        <v>21</v>
      </c>
    </row>
    <row r="340" spans="1:9" x14ac:dyDescent="0.25">
      <c r="A340">
        <v>6169508</v>
      </c>
      <c r="B340" t="s">
        <v>18</v>
      </c>
      <c r="C340" t="s">
        <v>627</v>
      </c>
      <c r="D340" s="1">
        <v>45292</v>
      </c>
      <c r="E340" s="1">
        <v>45657</v>
      </c>
      <c r="F340" t="s">
        <v>616</v>
      </c>
      <c r="G340" s="14" t="s">
        <v>274</v>
      </c>
      <c r="H340" s="4">
        <v>8252000</v>
      </c>
      <c r="I340" t="s">
        <v>21</v>
      </c>
    </row>
    <row r="341" spans="1:9" x14ac:dyDescent="0.25">
      <c r="A341">
        <v>6169509</v>
      </c>
      <c r="B341" t="s">
        <v>18</v>
      </c>
      <c r="C341" t="s">
        <v>627</v>
      </c>
      <c r="D341" s="1">
        <v>45292</v>
      </c>
      <c r="E341" s="1">
        <v>45657</v>
      </c>
      <c r="F341" t="s">
        <v>617</v>
      </c>
      <c r="G341" s="14" t="s">
        <v>275</v>
      </c>
      <c r="H341" s="4">
        <v>0</v>
      </c>
      <c r="I341" t="s">
        <v>21</v>
      </c>
    </row>
    <row r="342" spans="1:9" x14ac:dyDescent="0.25">
      <c r="A342">
        <v>6169510</v>
      </c>
      <c r="B342" t="s">
        <v>18</v>
      </c>
      <c r="C342" t="s">
        <v>627</v>
      </c>
      <c r="D342" s="1">
        <v>45292</v>
      </c>
      <c r="E342" s="1">
        <v>45657</v>
      </c>
      <c r="F342" t="s">
        <v>618</v>
      </c>
      <c r="G342" s="14" t="s">
        <v>44</v>
      </c>
      <c r="H342" s="4">
        <v>29000</v>
      </c>
      <c r="I342" t="s">
        <v>21</v>
      </c>
    </row>
    <row r="343" spans="1:9" x14ac:dyDescent="0.25">
      <c r="A343">
        <v>6169511</v>
      </c>
      <c r="B343" t="s">
        <v>18</v>
      </c>
      <c r="C343" t="s">
        <v>627</v>
      </c>
      <c r="D343" s="1">
        <v>45292</v>
      </c>
      <c r="E343" s="1">
        <v>45657</v>
      </c>
      <c r="F343" t="s">
        <v>619</v>
      </c>
      <c r="G343" s="2" t="s">
        <v>276</v>
      </c>
      <c r="H343" s="7">
        <v>29000</v>
      </c>
      <c r="I343" t="s">
        <v>21</v>
      </c>
    </row>
    <row r="686" spans="8:8" x14ac:dyDescent="0.25">
      <c r="H686" s="7"/>
    </row>
    <row r="1029" spans="8:8" x14ac:dyDescent="0.25">
      <c r="H1029" s="7"/>
    </row>
    <row r="1372" spans="8:8" x14ac:dyDescent="0.25">
      <c r="H1372" s="7"/>
    </row>
    <row r="1715" spans="8:8" x14ac:dyDescent="0.25">
      <c r="H1715" s="7"/>
    </row>
    <row r="2058" spans="8:8" x14ac:dyDescent="0.25">
      <c r="H2058" s="7"/>
    </row>
    <row r="2401" spans="8:8" x14ac:dyDescent="0.25">
      <c r="H2401" s="7"/>
    </row>
    <row r="2744" spans="8:8" x14ac:dyDescent="0.25">
      <c r="H2744" s="7"/>
    </row>
    <row r="3087" spans="8:8" x14ac:dyDescent="0.25">
      <c r="H3087" s="7"/>
    </row>
    <row r="3430" spans="8:8" x14ac:dyDescent="0.25">
      <c r="H3430" s="7"/>
    </row>
    <row r="3773" spans="8:8" x14ac:dyDescent="0.25">
      <c r="H3773" s="7"/>
    </row>
    <row r="4116" spans="8:8" x14ac:dyDescent="0.25">
      <c r="H4116" s="7"/>
    </row>
    <row r="4459" spans="8:8" x14ac:dyDescent="0.25">
      <c r="H4459" s="7"/>
    </row>
    <row r="4802" spans="8:8" x14ac:dyDescent="0.25">
      <c r="H4802" s="7"/>
    </row>
    <row r="5145" spans="8:8" x14ac:dyDescent="0.25">
      <c r="H5145" s="7"/>
    </row>
    <row r="5488" spans="8:8" x14ac:dyDescent="0.25">
      <c r="H5488" s="7"/>
    </row>
    <row r="5831" spans="8:8" x14ac:dyDescent="0.25">
      <c r="H5831" s="7"/>
    </row>
    <row r="6174" spans="8:8" x14ac:dyDescent="0.25">
      <c r="H6174" s="7"/>
    </row>
    <row r="6517" spans="8:8" x14ac:dyDescent="0.25">
      <c r="H6517" s="7"/>
    </row>
    <row r="6860" spans="8:8" x14ac:dyDescent="0.25">
      <c r="H6860" s="7"/>
    </row>
    <row r="7203" spans="8:8" x14ac:dyDescent="0.25">
      <c r="H7203" s="7"/>
    </row>
    <row r="7546" spans="8:8" x14ac:dyDescent="0.25">
      <c r="H7546" s="7"/>
    </row>
    <row r="7889" spans="8:8" x14ac:dyDescent="0.25">
      <c r="H7889" s="7"/>
    </row>
    <row r="8232" spans="8:8" x14ac:dyDescent="0.25">
      <c r="H8232" s="7"/>
    </row>
    <row r="8575" spans="8:8" x14ac:dyDescent="0.25">
      <c r="H8575" s="7"/>
    </row>
    <row r="8918" spans="8:8" x14ac:dyDescent="0.25">
      <c r="H8918" s="7"/>
    </row>
    <row r="9261" spans="8:8" x14ac:dyDescent="0.25">
      <c r="H9261" s="7"/>
    </row>
    <row r="9604" spans="8:8" x14ac:dyDescent="0.25">
      <c r="H9604" s="7"/>
    </row>
    <row r="9947" spans="8:8" x14ac:dyDescent="0.25">
      <c r="H9947" s="7"/>
    </row>
    <row r="10290" spans="8:8" x14ac:dyDescent="0.25">
      <c r="H10290" s="7"/>
    </row>
    <row r="10633" spans="8:8" x14ac:dyDescent="0.25">
      <c r="H10633" s="7"/>
    </row>
    <row r="10976" spans="8:8" x14ac:dyDescent="0.25">
      <c r="H10976" s="7"/>
    </row>
    <row r="11319" spans="8:8" x14ac:dyDescent="0.25">
      <c r="H11319" s="7"/>
    </row>
    <row r="11662" spans="8:8" x14ac:dyDescent="0.25">
      <c r="H11662" s="7"/>
    </row>
    <row r="12005" spans="8:8" x14ac:dyDescent="0.25">
      <c r="H12005" s="7"/>
    </row>
    <row r="12348" spans="8:8" x14ac:dyDescent="0.25">
      <c r="H12348" s="7"/>
    </row>
    <row r="12691" spans="8:8" x14ac:dyDescent="0.25">
      <c r="H12691" s="7"/>
    </row>
    <row r="13034" spans="8:8" x14ac:dyDescent="0.25">
      <c r="H13034" s="7"/>
    </row>
    <row r="13377" spans="8:8" x14ac:dyDescent="0.25">
      <c r="H13377" s="7"/>
    </row>
    <row r="13720" spans="8:8" x14ac:dyDescent="0.25">
      <c r="H13720" s="7"/>
    </row>
    <row r="14063" spans="8:8" x14ac:dyDescent="0.25">
      <c r="H14063" s="7"/>
    </row>
    <row r="14406" spans="8:8" x14ac:dyDescent="0.25">
      <c r="H14406" s="7"/>
    </row>
    <row r="14749" spans="8:8" x14ac:dyDescent="0.25">
      <c r="H14749" s="7"/>
    </row>
    <row r="15092" spans="8:8" x14ac:dyDescent="0.25">
      <c r="H15092" s="7"/>
    </row>
    <row r="15435" spans="8:8" x14ac:dyDescent="0.25">
      <c r="H15435" s="7"/>
    </row>
    <row r="15778" spans="8:8" x14ac:dyDescent="0.25">
      <c r="H15778" s="7"/>
    </row>
    <row r="16121" spans="8:8" x14ac:dyDescent="0.25">
      <c r="H16121" s="7"/>
    </row>
    <row r="16464" spans="8:8" x14ac:dyDescent="0.25">
      <c r="H16464" s="7"/>
    </row>
    <row r="16807" spans="8:8" x14ac:dyDescent="0.25">
      <c r="H16807" s="7"/>
    </row>
    <row r="17150" spans="8:8" x14ac:dyDescent="0.25">
      <c r="H17150" s="7"/>
    </row>
    <row r="17493" spans="8:8" x14ac:dyDescent="0.25">
      <c r="H17493" s="7"/>
    </row>
    <row r="17836" spans="8:8" x14ac:dyDescent="0.25">
      <c r="H17836" s="7"/>
    </row>
    <row r="18179" spans="8:8" x14ac:dyDescent="0.25">
      <c r="H18179" s="7"/>
    </row>
    <row r="18522" spans="8:8" x14ac:dyDescent="0.25">
      <c r="H18522" s="7"/>
    </row>
    <row r="18865" spans="8:8" x14ac:dyDescent="0.25">
      <c r="H18865" s="7"/>
    </row>
    <row r="19208" spans="8:8" x14ac:dyDescent="0.25">
      <c r="H19208" s="7"/>
    </row>
    <row r="19551" spans="8:8" x14ac:dyDescent="0.25">
      <c r="H19551" s="7"/>
    </row>
    <row r="19894" spans="8:8" x14ac:dyDescent="0.25">
      <c r="H19894" s="7"/>
    </row>
    <row r="20237" spans="8:8" x14ac:dyDescent="0.25">
      <c r="H20237" s="7"/>
    </row>
    <row r="20580" spans="8:8" x14ac:dyDescent="0.25">
      <c r="H20580" s="7"/>
    </row>
    <row r="20923" spans="8:8" x14ac:dyDescent="0.25">
      <c r="H20923" s="7"/>
    </row>
    <row r="21266" spans="8:8" x14ac:dyDescent="0.25">
      <c r="H21266" s="7"/>
    </row>
    <row r="21609" spans="8:8" x14ac:dyDescent="0.25">
      <c r="H21609" s="7"/>
    </row>
    <row r="21952" spans="8:8" x14ac:dyDescent="0.25">
      <c r="H21952" s="7"/>
    </row>
    <row r="22295" spans="8:8" x14ac:dyDescent="0.25">
      <c r="H22295" s="7"/>
    </row>
    <row r="22638" spans="8:8" x14ac:dyDescent="0.25">
      <c r="H22638" s="7"/>
    </row>
    <row r="22981" spans="8:8" x14ac:dyDescent="0.25">
      <c r="H22981" s="7"/>
    </row>
    <row r="23324" spans="8:8" x14ac:dyDescent="0.25">
      <c r="H23324" s="7"/>
    </row>
    <row r="23667" spans="8:8" x14ac:dyDescent="0.25">
      <c r="H23667" s="7"/>
    </row>
    <row r="24010" spans="8:8" x14ac:dyDescent="0.25">
      <c r="H24010" s="7"/>
    </row>
    <row r="24353" spans="8:8" x14ac:dyDescent="0.25">
      <c r="H24353" s="7"/>
    </row>
    <row r="24696" spans="8:8" x14ac:dyDescent="0.25">
      <c r="H24696" s="7"/>
    </row>
    <row r="25039" spans="8:8" x14ac:dyDescent="0.25">
      <c r="H25039" s="7"/>
    </row>
    <row r="25382" spans="8:8" x14ac:dyDescent="0.25">
      <c r="H25382" s="7"/>
    </row>
    <row r="25725" spans="8:8" x14ac:dyDescent="0.25">
      <c r="H25725" s="7"/>
    </row>
    <row r="26068" spans="8:8" x14ac:dyDescent="0.25">
      <c r="H26068" s="7"/>
    </row>
    <row r="26411" spans="8:8" x14ac:dyDescent="0.25">
      <c r="H26411" s="7"/>
    </row>
    <row r="26754" spans="8:8" x14ac:dyDescent="0.25">
      <c r="H26754" s="7"/>
    </row>
    <row r="27097" spans="8:8" x14ac:dyDescent="0.25">
      <c r="H27097" s="7"/>
    </row>
    <row r="27440" spans="8:8" x14ac:dyDescent="0.25">
      <c r="H27440" s="7"/>
    </row>
    <row r="27783" spans="8:8" x14ac:dyDescent="0.25">
      <c r="H27783" s="7"/>
    </row>
    <row r="28126" spans="8:8" x14ac:dyDescent="0.25">
      <c r="H28126" s="7"/>
    </row>
    <row r="28469" spans="8:8" x14ac:dyDescent="0.25">
      <c r="H28469" s="7"/>
    </row>
    <row r="28812" spans="8:8" x14ac:dyDescent="0.25">
      <c r="H28812" s="7"/>
    </row>
    <row r="29155" spans="8:8" x14ac:dyDescent="0.25">
      <c r="H29155" s="7"/>
    </row>
    <row r="29498" spans="8:8" x14ac:dyDescent="0.25">
      <c r="H29498" s="7"/>
    </row>
    <row r="29841" spans="8:8" x14ac:dyDescent="0.25">
      <c r="H29841" s="7"/>
    </row>
    <row r="30184" spans="8:8" x14ac:dyDescent="0.25">
      <c r="H30184" s="7"/>
    </row>
    <row r="30527" spans="8:8" x14ac:dyDescent="0.25">
      <c r="H30527" s="7"/>
    </row>
    <row r="30870" spans="8:8" x14ac:dyDescent="0.25">
      <c r="H30870" s="7"/>
    </row>
    <row r="31213" spans="8:8" x14ac:dyDescent="0.25">
      <c r="H31213" s="7"/>
    </row>
    <row r="31556" spans="8:8" x14ac:dyDescent="0.25">
      <c r="H31556" s="7"/>
    </row>
    <row r="31899" spans="8:8" x14ac:dyDescent="0.25">
      <c r="H31899" s="7"/>
    </row>
    <row r="32242" spans="8:8" x14ac:dyDescent="0.25">
      <c r="H32242" s="7"/>
    </row>
    <row r="32585" spans="8:8" x14ac:dyDescent="0.25">
      <c r="H32585" s="7"/>
    </row>
    <row r="32928" spans="8:8" x14ac:dyDescent="0.25">
      <c r="H32928" s="7"/>
    </row>
    <row r="33271" spans="8:8" x14ac:dyDescent="0.25">
      <c r="H33271" s="7"/>
    </row>
    <row r="33614" spans="8:8" x14ac:dyDescent="0.25">
      <c r="H33614" s="7"/>
    </row>
    <row r="33957" spans="8:8" x14ac:dyDescent="0.25">
      <c r="H33957" s="7"/>
    </row>
    <row r="34300" spans="8:8" x14ac:dyDescent="0.25">
      <c r="H34300" s="7"/>
    </row>
    <row r="34643" spans="8:8" x14ac:dyDescent="0.25">
      <c r="H34643" s="7"/>
    </row>
    <row r="34986" spans="8:8" x14ac:dyDescent="0.25">
      <c r="H34986" s="7"/>
    </row>
    <row r="35329" spans="8:8" x14ac:dyDescent="0.25">
      <c r="H35329" s="7"/>
    </row>
    <row r="35672" spans="8:8" x14ac:dyDescent="0.25">
      <c r="H35672" s="7"/>
    </row>
    <row r="36015" spans="8:8" x14ac:dyDescent="0.25">
      <c r="H36015" s="7"/>
    </row>
    <row r="36358" spans="8:8" x14ac:dyDescent="0.25">
      <c r="H36358" s="7"/>
    </row>
    <row r="36701" spans="8:8" x14ac:dyDescent="0.25">
      <c r="H36701" s="7"/>
    </row>
    <row r="37044" spans="8:8" x14ac:dyDescent="0.25">
      <c r="H37044" s="7"/>
    </row>
    <row r="37387" spans="8:8" x14ac:dyDescent="0.25">
      <c r="H37387" s="7"/>
    </row>
    <row r="37730" spans="8:8" x14ac:dyDescent="0.25">
      <c r="H37730" s="7"/>
    </row>
    <row r="38073" spans="8:8" x14ac:dyDescent="0.25">
      <c r="H38073" s="7"/>
    </row>
    <row r="38416" spans="8:8" x14ac:dyDescent="0.25">
      <c r="H38416" s="7"/>
    </row>
    <row r="38759" spans="8:8" x14ac:dyDescent="0.25">
      <c r="H38759" s="7"/>
    </row>
    <row r="39102" spans="8:8" x14ac:dyDescent="0.25">
      <c r="H39102" s="7"/>
    </row>
    <row r="39445" spans="8:8" x14ac:dyDescent="0.25">
      <c r="H39445" s="7"/>
    </row>
    <row r="39788" spans="8:8" x14ac:dyDescent="0.25">
      <c r="H39788" s="7"/>
    </row>
    <row r="40131" spans="8:8" x14ac:dyDescent="0.25">
      <c r="H40131" s="7"/>
    </row>
    <row r="40474" spans="8:8" x14ac:dyDescent="0.25">
      <c r="H40474" s="7"/>
    </row>
    <row r="40817" spans="8:8" x14ac:dyDescent="0.25">
      <c r="H40817" s="7"/>
    </row>
    <row r="41160" spans="8:8" x14ac:dyDescent="0.25">
      <c r="H41160" s="7"/>
    </row>
    <row r="41503" spans="8:8" x14ac:dyDescent="0.25">
      <c r="H41503" s="7"/>
    </row>
    <row r="41846" spans="8:8" x14ac:dyDescent="0.25">
      <c r="H41846" s="7"/>
    </row>
    <row r="42189" spans="8:8" x14ac:dyDescent="0.25">
      <c r="H42189" s="7"/>
    </row>
    <row r="42532" spans="8:8" x14ac:dyDescent="0.25">
      <c r="H42532" s="7"/>
    </row>
    <row r="42875" spans="8:8" x14ac:dyDescent="0.25">
      <c r="H42875" s="7"/>
    </row>
    <row r="43218" spans="8:8" x14ac:dyDescent="0.25">
      <c r="H43218" s="7"/>
    </row>
    <row r="43561" spans="8:8" x14ac:dyDescent="0.25">
      <c r="H43561" s="7"/>
    </row>
    <row r="43904" spans="8:8" x14ac:dyDescent="0.25">
      <c r="H43904" s="7"/>
    </row>
    <row r="44247" spans="8:8" x14ac:dyDescent="0.25">
      <c r="H44247" s="7"/>
    </row>
    <row r="44590" spans="8:8" x14ac:dyDescent="0.25">
      <c r="H44590" s="7"/>
    </row>
    <row r="44933" spans="8:8" x14ac:dyDescent="0.25">
      <c r="H44933" s="7"/>
    </row>
    <row r="45276" spans="8:8" x14ac:dyDescent="0.25">
      <c r="H45276" s="7"/>
    </row>
    <row r="45619" spans="8:8" x14ac:dyDescent="0.25">
      <c r="H45619" s="7"/>
    </row>
    <row r="45962" spans="8:8" x14ac:dyDescent="0.25">
      <c r="H45962" s="7"/>
    </row>
    <row r="46305" spans="8:8" x14ac:dyDescent="0.25">
      <c r="H46305" s="7"/>
    </row>
    <row r="46648" spans="8:8" x14ac:dyDescent="0.25">
      <c r="H46648" s="7"/>
    </row>
    <row r="46991" spans="8:8" x14ac:dyDescent="0.25">
      <c r="H46991" s="7"/>
    </row>
    <row r="47334" spans="8:8" x14ac:dyDescent="0.25">
      <c r="H47334" s="7"/>
    </row>
    <row r="47677" spans="8:8" x14ac:dyDescent="0.25">
      <c r="H47677" s="7"/>
    </row>
    <row r="48020" spans="8:8" x14ac:dyDescent="0.25">
      <c r="H48020" s="7"/>
    </row>
    <row r="48363" spans="8:8" x14ac:dyDescent="0.25">
      <c r="H48363" s="7"/>
    </row>
    <row r="48706" spans="8:8" x14ac:dyDescent="0.25">
      <c r="H48706" s="7"/>
    </row>
    <row r="49049" spans="8:8" x14ac:dyDescent="0.25">
      <c r="H49049" s="7"/>
    </row>
    <row r="49392" spans="8:8" x14ac:dyDescent="0.25">
      <c r="H49392" s="7"/>
    </row>
    <row r="49735" spans="8:8" x14ac:dyDescent="0.25">
      <c r="H49735" s="7"/>
    </row>
    <row r="50078" spans="8:8" x14ac:dyDescent="0.25">
      <c r="H50078" s="7"/>
    </row>
    <row r="50421" spans="8:8" x14ac:dyDescent="0.25">
      <c r="H50421" s="7"/>
    </row>
    <row r="50764" spans="8:8" x14ac:dyDescent="0.25">
      <c r="H50764" s="7"/>
    </row>
    <row r="51107" spans="8:8" x14ac:dyDescent="0.25">
      <c r="H51107" s="7"/>
    </row>
    <row r="51450" spans="8:8" x14ac:dyDescent="0.25">
      <c r="H51450" s="7"/>
    </row>
    <row r="51793" spans="8:8" x14ac:dyDescent="0.25">
      <c r="H51793" s="7"/>
    </row>
    <row r="52136" spans="8:8" x14ac:dyDescent="0.25">
      <c r="H52136" s="7"/>
    </row>
    <row r="52479" spans="8:8" x14ac:dyDescent="0.25">
      <c r="H52479" s="7"/>
    </row>
    <row r="52822" spans="8:8" x14ac:dyDescent="0.25">
      <c r="H52822" s="7"/>
    </row>
    <row r="53165" spans="8:8" x14ac:dyDescent="0.25">
      <c r="H53165" s="7"/>
    </row>
    <row r="53508" spans="8:8" x14ac:dyDescent="0.25">
      <c r="H53508" s="7"/>
    </row>
    <row r="53851" spans="8:8" x14ac:dyDescent="0.25">
      <c r="H53851" s="7"/>
    </row>
    <row r="54194" spans="8:8" x14ac:dyDescent="0.25">
      <c r="H54194" s="7"/>
    </row>
    <row r="54537" spans="8:8" x14ac:dyDescent="0.25">
      <c r="H54537" s="7"/>
    </row>
    <row r="54880" spans="8:8" x14ac:dyDescent="0.25">
      <c r="H54880" s="7"/>
    </row>
    <row r="55223" spans="8:8" x14ac:dyDescent="0.25">
      <c r="H55223" s="7"/>
    </row>
    <row r="55566" spans="8:8" x14ac:dyDescent="0.25">
      <c r="H55566" s="7"/>
    </row>
    <row r="55909" spans="8:8" x14ac:dyDescent="0.25">
      <c r="H55909" s="7"/>
    </row>
    <row r="56252" spans="8:8" x14ac:dyDescent="0.25">
      <c r="H56252" s="7"/>
    </row>
    <row r="56595" spans="8:8" x14ac:dyDescent="0.25">
      <c r="H56595" s="7"/>
    </row>
    <row r="56938" spans="8:8" x14ac:dyDescent="0.25">
      <c r="H56938" s="7"/>
    </row>
    <row r="57281" spans="8:8" x14ac:dyDescent="0.25">
      <c r="H57281" s="7"/>
    </row>
    <row r="57624" spans="8:8" x14ac:dyDescent="0.25">
      <c r="H57624" s="7"/>
    </row>
    <row r="57967" spans="8:8" x14ac:dyDescent="0.25">
      <c r="H57967" s="7"/>
    </row>
    <row r="58310" spans="8:8" x14ac:dyDescent="0.25">
      <c r="H58310" s="7"/>
    </row>
    <row r="58653" spans="8:8" x14ac:dyDescent="0.25">
      <c r="H58653" s="7"/>
    </row>
    <row r="58996" spans="8:8" x14ac:dyDescent="0.25">
      <c r="H58996" s="7"/>
    </row>
    <row r="59339" spans="8:8" x14ac:dyDescent="0.25">
      <c r="H59339" s="7"/>
    </row>
    <row r="59682" spans="8:8" x14ac:dyDescent="0.25">
      <c r="H59682" s="7"/>
    </row>
    <row r="60025" spans="8:8" x14ac:dyDescent="0.25">
      <c r="H60025" s="7"/>
    </row>
    <row r="60368" spans="8:8" x14ac:dyDescent="0.25">
      <c r="H60368" s="7"/>
    </row>
    <row r="60711" spans="8:8" x14ac:dyDescent="0.25">
      <c r="H60711" s="7"/>
    </row>
    <row r="61054" spans="8:8" x14ac:dyDescent="0.25">
      <c r="H61054" s="7"/>
    </row>
    <row r="61397" spans="8:8" x14ac:dyDescent="0.25">
      <c r="H61397" s="7"/>
    </row>
    <row r="61740" spans="8:8" x14ac:dyDescent="0.25">
      <c r="H61740" s="7"/>
    </row>
    <row r="62083" spans="8:8" x14ac:dyDescent="0.25">
      <c r="H62083" s="7"/>
    </row>
    <row r="62426" spans="8:8" x14ac:dyDescent="0.25">
      <c r="H62426" s="7"/>
    </row>
    <row r="62769" spans="8:8" x14ac:dyDescent="0.25">
      <c r="H62769" s="7"/>
    </row>
    <row r="63112" spans="8:8" x14ac:dyDescent="0.25">
      <c r="H63112" s="7"/>
    </row>
    <row r="63455" spans="8:8" x14ac:dyDescent="0.25">
      <c r="H63455" s="7"/>
    </row>
    <row r="63798" spans="8:8" x14ac:dyDescent="0.25">
      <c r="H63798" s="7"/>
    </row>
    <row r="64141" spans="8:8" x14ac:dyDescent="0.25">
      <c r="H64141" s="7"/>
    </row>
    <row r="64484" spans="8:8" x14ac:dyDescent="0.25">
      <c r="H64484" s="7"/>
    </row>
    <row r="64827" spans="8:8" x14ac:dyDescent="0.25">
      <c r="H64827" s="7"/>
    </row>
    <row r="65170" spans="8:8" x14ac:dyDescent="0.25">
      <c r="H65170" s="7"/>
    </row>
    <row r="65513" spans="8:8" x14ac:dyDescent="0.25">
      <c r="H65513" s="7"/>
    </row>
    <row r="65856" spans="8:8" x14ac:dyDescent="0.25">
      <c r="H65856" s="7"/>
    </row>
    <row r="66199" spans="8:8" x14ac:dyDescent="0.25">
      <c r="H66199" s="7"/>
    </row>
    <row r="66542" spans="8:8" x14ac:dyDescent="0.25">
      <c r="H66542" s="7"/>
    </row>
    <row r="66885" spans="8:8" x14ac:dyDescent="0.25">
      <c r="H66885" s="7"/>
    </row>
    <row r="67228" spans="8:8" x14ac:dyDescent="0.25">
      <c r="H67228" s="7"/>
    </row>
    <row r="67571" spans="8:8" x14ac:dyDescent="0.25">
      <c r="H67571" s="7"/>
    </row>
    <row r="67914" spans="8:8" x14ac:dyDescent="0.25">
      <c r="H67914" s="7"/>
    </row>
    <row r="68257" spans="8:8" x14ac:dyDescent="0.25">
      <c r="H68257" s="7"/>
    </row>
    <row r="68600" spans="8:8" x14ac:dyDescent="0.25">
      <c r="H68600" s="7"/>
    </row>
    <row r="68943" spans="8:8" x14ac:dyDescent="0.25">
      <c r="H68943" s="7"/>
    </row>
    <row r="69286" spans="8:8" x14ac:dyDescent="0.25">
      <c r="H69286" s="7"/>
    </row>
    <row r="69629" spans="8:8" x14ac:dyDescent="0.25">
      <c r="H69629" s="7"/>
    </row>
    <row r="69972" spans="8:8" x14ac:dyDescent="0.25">
      <c r="H69972" s="7"/>
    </row>
    <row r="70315" spans="8:8" x14ac:dyDescent="0.25">
      <c r="H70315" s="7"/>
    </row>
    <row r="70658" spans="8:8" x14ac:dyDescent="0.25">
      <c r="H70658" s="7"/>
    </row>
    <row r="71001" spans="8:8" x14ac:dyDescent="0.25">
      <c r="H71001" s="7"/>
    </row>
    <row r="71344" spans="8:8" x14ac:dyDescent="0.25">
      <c r="H71344" s="7"/>
    </row>
    <row r="71687" spans="8:8" x14ac:dyDescent="0.25">
      <c r="H71687" s="7"/>
    </row>
    <row r="72030" spans="8:8" x14ac:dyDescent="0.25">
      <c r="H72030" s="7"/>
    </row>
    <row r="72373" spans="8:8" x14ac:dyDescent="0.25">
      <c r="H72373" s="7"/>
    </row>
    <row r="72716" spans="8:8" x14ac:dyDescent="0.25">
      <c r="H72716" s="7"/>
    </row>
    <row r="73059" spans="8:8" x14ac:dyDescent="0.25">
      <c r="H73059" s="7"/>
    </row>
    <row r="73402" spans="8:8" x14ac:dyDescent="0.25">
      <c r="H73402" s="7"/>
    </row>
    <row r="73745" spans="8:8" x14ac:dyDescent="0.25">
      <c r="H73745" s="7"/>
    </row>
    <row r="74088" spans="8:8" x14ac:dyDescent="0.25">
      <c r="H74088" s="7"/>
    </row>
    <row r="74431" spans="8:8" x14ac:dyDescent="0.25">
      <c r="H74431" s="7"/>
    </row>
    <row r="74774" spans="8:8" x14ac:dyDescent="0.25">
      <c r="H74774" s="7"/>
    </row>
    <row r="75117" spans="8:8" x14ac:dyDescent="0.25">
      <c r="H75117" s="7"/>
    </row>
    <row r="75460" spans="8:8" x14ac:dyDescent="0.25">
      <c r="H75460" s="7"/>
    </row>
    <row r="75803" spans="8:8" x14ac:dyDescent="0.25">
      <c r="H75803" s="7"/>
    </row>
    <row r="76146" spans="8:8" x14ac:dyDescent="0.25">
      <c r="H76146" s="7"/>
    </row>
    <row r="76489" spans="8:8" x14ac:dyDescent="0.25">
      <c r="H76489" s="7"/>
    </row>
    <row r="76832" spans="8:8" x14ac:dyDescent="0.25">
      <c r="H76832" s="7"/>
    </row>
    <row r="77175" spans="8:8" x14ac:dyDescent="0.25">
      <c r="H77175" s="7"/>
    </row>
    <row r="77518" spans="8:8" x14ac:dyDescent="0.25">
      <c r="H77518" s="7"/>
    </row>
    <row r="77861" spans="8:8" x14ac:dyDescent="0.25">
      <c r="H77861" s="7"/>
    </row>
    <row r="78204" spans="8:8" x14ac:dyDescent="0.25">
      <c r="H78204" s="7"/>
    </row>
    <row r="78547" spans="8:8" x14ac:dyDescent="0.25">
      <c r="H78547" s="7"/>
    </row>
    <row r="78890" spans="8:8" x14ac:dyDescent="0.25">
      <c r="H78890" s="7"/>
    </row>
    <row r="79233" spans="8:8" x14ac:dyDescent="0.25">
      <c r="H79233" s="7"/>
    </row>
    <row r="79576" spans="8:8" x14ac:dyDescent="0.25">
      <c r="H79576" s="7"/>
    </row>
    <row r="79919" spans="8:8" x14ac:dyDescent="0.25">
      <c r="H79919" s="7"/>
    </row>
    <row r="80262" spans="8:8" x14ac:dyDescent="0.25">
      <c r="H80262" s="7"/>
    </row>
    <row r="80605" spans="8:8" x14ac:dyDescent="0.25">
      <c r="H80605" s="7"/>
    </row>
    <row r="80948" spans="8:8" x14ac:dyDescent="0.25">
      <c r="H80948" s="7"/>
    </row>
    <row r="81291" spans="8:8" x14ac:dyDescent="0.25">
      <c r="H81291" s="7"/>
    </row>
    <row r="81634" spans="8:8" x14ac:dyDescent="0.25">
      <c r="H81634" s="7"/>
    </row>
    <row r="81977" spans="8:8" x14ac:dyDescent="0.25">
      <c r="H81977" s="7"/>
    </row>
    <row r="82320" spans="8:8" x14ac:dyDescent="0.25">
      <c r="H82320" s="7"/>
    </row>
    <row r="82663" spans="8:8" x14ac:dyDescent="0.25">
      <c r="H82663" s="7"/>
    </row>
    <row r="83006" spans="8:8" x14ac:dyDescent="0.25">
      <c r="H83006" s="7"/>
    </row>
    <row r="83349" spans="8:8" x14ac:dyDescent="0.25">
      <c r="H83349" s="7"/>
    </row>
    <row r="83692" spans="8:8" x14ac:dyDescent="0.25">
      <c r="H83692" s="7"/>
    </row>
    <row r="84035" spans="8:8" x14ac:dyDescent="0.25">
      <c r="H84035" s="7"/>
    </row>
    <row r="84378" spans="8:8" x14ac:dyDescent="0.25">
      <c r="H84378" s="7"/>
    </row>
    <row r="84721" spans="8:8" x14ac:dyDescent="0.25">
      <c r="H84721" s="7"/>
    </row>
    <row r="85064" spans="8:8" x14ac:dyDescent="0.25">
      <c r="H85064" s="7"/>
    </row>
    <row r="85407" spans="8:8" x14ac:dyDescent="0.25">
      <c r="H85407" s="7"/>
    </row>
    <row r="85750" spans="8:8" x14ac:dyDescent="0.25">
      <c r="H85750" s="7"/>
    </row>
    <row r="86093" spans="8:8" x14ac:dyDescent="0.25">
      <c r="H86093" s="7"/>
    </row>
    <row r="86436" spans="8:8" x14ac:dyDescent="0.25">
      <c r="H86436" s="7"/>
    </row>
    <row r="86779" spans="8:8" x14ac:dyDescent="0.25">
      <c r="H86779" s="7"/>
    </row>
    <row r="87122" spans="8:8" x14ac:dyDescent="0.25">
      <c r="H87122" s="7"/>
    </row>
    <row r="87465" spans="8:8" x14ac:dyDescent="0.25">
      <c r="H87465" s="7"/>
    </row>
    <row r="87808" spans="8:8" x14ac:dyDescent="0.25">
      <c r="H87808" s="7"/>
    </row>
    <row r="88151" spans="8:8" x14ac:dyDescent="0.25">
      <c r="H88151" s="7"/>
    </row>
    <row r="88494" spans="8:8" x14ac:dyDescent="0.25">
      <c r="H88494" s="7"/>
    </row>
    <row r="88837" spans="8:8" x14ac:dyDescent="0.25">
      <c r="H88837" s="7"/>
    </row>
    <row r="89180" spans="8:8" x14ac:dyDescent="0.25">
      <c r="H89180" s="7"/>
    </row>
    <row r="89523" spans="8:8" x14ac:dyDescent="0.25">
      <c r="H89523" s="7"/>
    </row>
    <row r="89866" spans="8:8" x14ac:dyDescent="0.25">
      <c r="H89866" s="7"/>
    </row>
    <row r="90209" spans="8:8" x14ac:dyDescent="0.25">
      <c r="H90209" s="7"/>
    </row>
    <row r="90552" spans="8:8" x14ac:dyDescent="0.25">
      <c r="H90552" s="7"/>
    </row>
    <row r="90895" spans="8:8" x14ac:dyDescent="0.25">
      <c r="H90895" s="7"/>
    </row>
    <row r="91238" spans="8:8" x14ac:dyDescent="0.25">
      <c r="H91238" s="7"/>
    </row>
    <row r="91581" spans="8:8" x14ac:dyDescent="0.25">
      <c r="H91581" s="7"/>
    </row>
    <row r="91924" spans="8:8" x14ac:dyDescent="0.25">
      <c r="H91924" s="7"/>
    </row>
    <row r="92267" spans="8:8" x14ac:dyDescent="0.25">
      <c r="H92267" s="7"/>
    </row>
    <row r="92610" spans="8:8" x14ac:dyDescent="0.25">
      <c r="H92610" s="7"/>
    </row>
    <row r="92953" spans="8:8" x14ac:dyDescent="0.25">
      <c r="H92953" s="7"/>
    </row>
    <row r="93296" spans="8:8" x14ac:dyDescent="0.25">
      <c r="H93296" s="7"/>
    </row>
    <row r="93639" spans="8:8" x14ac:dyDescent="0.25">
      <c r="H93639" s="7"/>
    </row>
    <row r="93982" spans="8:8" x14ac:dyDescent="0.25">
      <c r="H93982" s="7"/>
    </row>
    <row r="94325" spans="8:8" x14ac:dyDescent="0.25">
      <c r="H94325" s="7"/>
    </row>
    <row r="94668" spans="8:8" x14ac:dyDescent="0.25">
      <c r="H94668" s="7"/>
    </row>
    <row r="95011" spans="8:8" x14ac:dyDescent="0.25">
      <c r="H95011" s="7"/>
    </row>
    <row r="95354" spans="8:8" x14ac:dyDescent="0.25">
      <c r="H95354" s="7"/>
    </row>
    <row r="95697" spans="8:8" x14ac:dyDescent="0.25">
      <c r="H95697" s="7"/>
    </row>
    <row r="96040" spans="8:8" x14ac:dyDescent="0.25">
      <c r="H96040" s="7"/>
    </row>
    <row r="96383" spans="8:8" x14ac:dyDescent="0.25">
      <c r="H96383" s="7"/>
    </row>
    <row r="96726" spans="8:8" x14ac:dyDescent="0.25">
      <c r="H96726" s="7"/>
    </row>
    <row r="97069" spans="8:8" x14ac:dyDescent="0.25">
      <c r="H97069" s="7"/>
    </row>
    <row r="97412" spans="8:8" x14ac:dyDescent="0.25">
      <c r="H97412" s="7"/>
    </row>
    <row r="97755" spans="8:8" x14ac:dyDescent="0.25">
      <c r="H97755" s="7"/>
    </row>
    <row r="98098" spans="8:8" x14ac:dyDescent="0.25">
      <c r="H98098" s="7"/>
    </row>
    <row r="98441" spans="8:8" x14ac:dyDescent="0.25">
      <c r="H98441" s="7"/>
    </row>
    <row r="98784" spans="8:8" x14ac:dyDescent="0.25">
      <c r="H98784" s="7"/>
    </row>
    <row r="99127" spans="8:8" x14ac:dyDescent="0.25">
      <c r="H99127" s="7"/>
    </row>
    <row r="99470" spans="8:8" x14ac:dyDescent="0.25">
      <c r="H99470" s="7"/>
    </row>
    <row r="99813" spans="8:8" x14ac:dyDescent="0.25">
      <c r="H99813" s="7"/>
    </row>
    <row r="100156" spans="8:8" x14ac:dyDescent="0.25">
      <c r="H100156" s="7"/>
    </row>
    <row r="100499" spans="8:8" x14ac:dyDescent="0.25">
      <c r="H100499" s="7"/>
    </row>
    <row r="100842" spans="8:8" x14ac:dyDescent="0.25">
      <c r="H100842" s="7"/>
    </row>
    <row r="101185" spans="8:8" x14ac:dyDescent="0.25">
      <c r="H101185" s="7"/>
    </row>
    <row r="101528" spans="8:8" x14ac:dyDescent="0.25">
      <c r="H101528" s="7"/>
    </row>
    <row r="101871" spans="8:8" x14ac:dyDescent="0.25">
      <c r="H101871" s="7"/>
    </row>
    <row r="102214" spans="8:8" x14ac:dyDescent="0.25">
      <c r="H102214" s="7"/>
    </row>
    <row r="102557" spans="8:8" x14ac:dyDescent="0.25">
      <c r="H102557" s="7"/>
    </row>
    <row r="102900" spans="8:8" x14ac:dyDescent="0.25">
      <c r="H102900" s="7"/>
    </row>
    <row r="103243" spans="8:8" x14ac:dyDescent="0.25">
      <c r="H103243" s="7"/>
    </row>
    <row r="103586" spans="8:8" x14ac:dyDescent="0.25">
      <c r="H103586" s="7"/>
    </row>
    <row r="103929" spans="8:8" x14ac:dyDescent="0.25">
      <c r="H103929" s="7"/>
    </row>
    <row r="104272" spans="8:8" x14ac:dyDescent="0.25">
      <c r="H104272" s="7"/>
    </row>
    <row r="104615" spans="8:8" x14ac:dyDescent="0.25">
      <c r="H104615" s="7"/>
    </row>
    <row r="104958" spans="8:8" x14ac:dyDescent="0.25">
      <c r="H104958" s="7"/>
    </row>
    <row r="105301" spans="8:8" x14ac:dyDescent="0.25">
      <c r="H105301" s="7"/>
    </row>
    <row r="105644" spans="8:8" x14ac:dyDescent="0.25">
      <c r="H105644" s="7"/>
    </row>
    <row r="105987" spans="8:8" x14ac:dyDescent="0.25">
      <c r="H105987" s="7"/>
    </row>
    <row r="106330" spans="8:8" x14ac:dyDescent="0.25">
      <c r="H106330" s="7"/>
    </row>
    <row r="106673" spans="8:8" x14ac:dyDescent="0.25">
      <c r="H106673" s="7"/>
    </row>
    <row r="107016" spans="8:8" x14ac:dyDescent="0.25">
      <c r="H107016" s="7"/>
    </row>
    <row r="107359" spans="8:8" x14ac:dyDescent="0.25">
      <c r="H107359" s="7"/>
    </row>
    <row r="107702" spans="8:8" x14ac:dyDescent="0.25">
      <c r="H107702" s="7"/>
    </row>
    <row r="108045" spans="8:8" x14ac:dyDescent="0.25">
      <c r="H108045" s="7"/>
    </row>
    <row r="108388" spans="8:8" x14ac:dyDescent="0.25">
      <c r="H108388" s="7"/>
    </row>
    <row r="108731" spans="8:8" x14ac:dyDescent="0.25">
      <c r="H108731" s="7"/>
    </row>
    <row r="109074" spans="8:8" x14ac:dyDescent="0.25">
      <c r="H109074" s="7"/>
    </row>
    <row r="109417" spans="8:8" x14ac:dyDescent="0.25">
      <c r="H109417" s="7"/>
    </row>
    <row r="109760" spans="8:8" x14ac:dyDescent="0.25">
      <c r="H109760" s="7"/>
    </row>
    <row r="110103" spans="8:8" x14ac:dyDescent="0.25">
      <c r="H110103" s="7"/>
    </row>
    <row r="110446" spans="8:8" x14ac:dyDescent="0.25">
      <c r="H110446" s="7"/>
    </row>
    <row r="110789" spans="8:8" x14ac:dyDescent="0.25">
      <c r="H110789" s="7"/>
    </row>
    <row r="111132" spans="8:8" x14ac:dyDescent="0.25">
      <c r="H111132" s="7"/>
    </row>
    <row r="111475" spans="8:8" x14ac:dyDescent="0.25">
      <c r="H111475" s="7"/>
    </row>
    <row r="111818" spans="8:8" x14ac:dyDescent="0.25">
      <c r="H111818" s="7"/>
    </row>
    <row r="112161" spans="8:8" x14ac:dyDescent="0.25">
      <c r="H112161" s="7"/>
    </row>
    <row r="112504" spans="8:8" x14ac:dyDescent="0.25">
      <c r="H112504" s="7"/>
    </row>
    <row r="112847" spans="8:8" x14ac:dyDescent="0.25">
      <c r="H112847" s="7"/>
    </row>
    <row r="113190" spans="8:8" x14ac:dyDescent="0.25">
      <c r="H113190" s="7"/>
    </row>
    <row r="113533" spans="8:8" x14ac:dyDescent="0.25">
      <c r="H113533" s="7"/>
    </row>
    <row r="113876" spans="8:8" x14ac:dyDescent="0.25">
      <c r="H113876" s="7"/>
    </row>
    <row r="114219" spans="8:8" x14ac:dyDescent="0.25">
      <c r="H114219" s="7"/>
    </row>
    <row r="114562" spans="8:8" x14ac:dyDescent="0.25">
      <c r="H114562" s="7"/>
    </row>
    <row r="114905" spans="8:8" x14ac:dyDescent="0.25">
      <c r="H114905" s="7"/>
    </row>
    <row r="115248" spans="8:8" x14ac:dyDescent="0.25">
      <c r="H115248" s="7"/>
    </row>
    <row r="115591" spans="8:8" x14ac:dyDescent="0.25">
      <c r="H115591" s="7"/>
    </row>
    <row r="115934" spans="8:8" x14ac:dyDescent="0.25">
      <c r="H115934" s="7"/>
    </row>
    <row r="116277" spans="8:8" x14ac:dyDescent="0.25">
      <c r="H116277" s="7"/>
    </row>
    <row r="116620" spans="8:8" x14ac:dyDescent="0.25">
      <c r="H116620" s="7"/>
    </row>
    <row r="116963" spans="8:8" x14ac:dyDescent="0.25">
      <c r="H116963" s="7"/>
    </row>
    <row r="117306" spans="8:8" x14ac:dyDescent="0.25">
      <c r="H117306" s="7"/>
    </row>
    <row r="117649" spans="8:8" x14ac:dyDescent="0.25">
      <c r="H117649" s="7"/>
    </row>
    <row r="117992" spans="8:8" x14ac:dyDescent="0.25">
      <c r="H117992" s="7"/>
    </row>
    <row r="118335" spans="8:8" x14ac:dyDescent="0.25">
      <c r="H118335" s="7"/>
    </row>
    <row r="118678" spans="8:8" x14ac:dyDescent="0.25">
      <c r="H118678" s="7"/>
    </row>
    <row r="119021" spans="8:8" x14ac:dyDescent="0.25">
      <c r="H119021" s="7"/>
    </row>
    <row r="119364" spans="8:8" x14ac:dyDescent="0.25">
      <c r="H119364" s="7"/>
    </row>
    <row r="119707" spans="8:8" x14ac:dyDescent="0.25">
      <c r="H119707" s="7"/>
    </row>
    <row r="120050" spans="8:8" x14ac:dyDescent="0.25">
      <c r="H120050" s="7"/>
    </row>
    <row r="120393" spans="8:8" x14ac:dyDescent="0.25">
      <c r="H120393" s="7"/>
    </row>
    <row r="120736" spans="8:8" x14ac:dyDescent="0.25">
      <c r="H120736" s="7"/>
    </row>
    <row r="121079" spans="8:8" x14ac:dyDescent="0.25">
      <c r="H121079" s="7"/>
    </row>
    <row r="121422" spans="8:8" x14ac:dyDescent="0.25">
      <c r="H121422" s="7"/>
    </row>
    <row r="121765" spans="8:8" x14ac:dyDescent="0.25">
      <c r="H121765" s="7"/>
    </row>
    <row r="122108" spans="8:8" x14ac:dyDescent="0.25">
      <c r="H122108" s="7"/>
    </row>
    <row r="122451" spans="8:8" x14ac:dyDescent="0.25">
      <c r="H122451" s="7"/>
    </row>
    <row r="122794" spans="8:8" x14ac:dyDescent="0.25">
      <c r="H122794" s="7"/>
    </row>
    <row r="123137" spans="8:8" x14ac:dyDescent="0.25">
      <c r="H123137" s="7"/>
    </row>
    <row r="123480" spans="8:8" x14ac:dyDescent="0.25">
      <c r="H123480" s="7"/>
    </row>
    <row r="123823" spans="8:8" x14ac:dyDescent="0.25">
      <c r="H123823" s="7"/>
    </row>
    <row r="124166" spans="8:8" x14ac:dyDescent="0.25">
      <c r="H124166" s="7"/>
    </row>
    <row r="124509" spans="8:8" x14ac:dyDescent="0.25">
      <c r="H124509" s="7"/>
    </row>
    <row r="124852" spans="8:8" x14ac:dyDescent="0.25">
      <c r="H124852" s="7"/>
    </row>
    <row r="125195" spans="8:8" x14ac:dyDescent="0.25">
      <c r="H125195" s="7"/>
    </row>
    <row r="125538" spans="8:8" x14ac:dyDescent="0.25">
      <c r="H125538" s="7"/>
    </row>
    <row r="125881" spans="8:8" x14ac:dyDescent="0.25">
      <c r="H125881" s="7"/>
    </row>
    <row r="126224" spans="8:8" x14ac:dyDescent="0.25">
      <c r="H126224" s="7"/>
    </row>
    <row r="126567" spans="8:8" x14ac:dyDescent="0.25">
      <c r="H126567" s="7"/>
    </row>
    <row r="126910" spans="8:8" x14ac:dyDescent="0.25">
      <c r="H126910" s="7"/>
    </row>
    <row r="127253" spans="8:8" x14ac:dyDescent="0.25">
      <c r="H127253" s="7"/>
    </row>
    <row r="127596" spans="8:8" x14ac:dyDescent="0.25">
      <c r="H127596" s="7"/>
    </row>
    <row r="127939" spans="8:8" x14ac:dyDescent="0.25">
      <c r="H127939" s="7"/>
    </row>
    <row r="128282" spans="8:8" x14ac:dyDescent="0.25">
      <c r="H128282" s="7"/>
    </row>
    <row r="128625" spans="8:8" x14ac:dyDescent="0.25">
      <c r="H128625" s="7"/>
    </row>
    <row r="128968" spans="8:8" x14ac:dyDescent="0.25">
      <c r="H128968" s="7"/>
    </row>
    <row r="129311" spans="8:8" x14ac:dyDescent="0.25">
      <c r="H129311" s="7"/>
    </row>
    <row r="129654" spans="8:8" x14ac:dyDescent="0.25">
      <c r="H129654" s="7"/>
    </row>
    <row r="129997" spans="8:8" x14ac:dyDescent="0.25">
      <c r="H129997" s="7"/>
    </row>
    <row r="130340" spans="8:8" x14ac:dyDescent="0.25">
      <c r="H130340" s="7"/>
    </row>
    <row r="130683" spans="8:8" x14ac:dyDescent="0.25">
      <c r="H130683" s="7"/>
    </row>
    <row r="131026" spans="8:8" x14ac:dyDescent="0.25">
      <c r="H131026" s="7"/>
    </row>
    <row r="131369" spans="8:8" x14ac:dyDescent="0.25">
      <c r="H131369" s="7"/>
    </row>
    <row r="131712" spans="8:8" x14ac:dyDescent="0.25">
      <c r="H131712" s="7"/>
    </row>
    <row r="132055" spans="8:8" x14ac:dyDescent="0.25">
      <c r="H132055" s="7"/>
    </row>
    <row r="132398" spans="8:8" x14ac:dyDescent="0.25">
      <c r="H132398" s="7"/>
    </row>
    <row r="132741" spans="8:8" x14ac:dyDescent="0.25">
      <c r="H132741" s="7"/>
    </row>
    <row r="133084" spans="8:8" x14ac:dyDescent="0.25">
      <c r="H133084" s="7"/>
    </row>
    <row r="133427" spans="8:8" x14ac:dyDescent="0.25">
      <c r="H133427" s="7"/>
    </row>
    <row r="133770" spans="8:8" x14ac:dyDescent="0.25">
      <c r="H133770" s="7"/>
    </row>
    <row r="134113" spans="8:8" x14ac:dyDescent="0.25">
      <c r="H134113" s="7"/>
    </row>
    <row r="134456" spans="8:8" x14ac:dyDescent="0.25">
      <c r="H134456" s="7"/>
    </row>
    <row r="134799" spans="8:8" x14ac:dyDescent="0.25">
      <c r="H134799" s="7"/>
    </row>
    <row r="135142" spans="8:8" x14ac:dyDescent="0.25">
      <c r="H135142" s="7"/>
    </row>
    <row r="135485" spans="8:8" x14ac:dyDescent="0.25">
      <c r="H135485" s="7"/>
    </row>
    <row r="135828" spans="8:8" x14ac:dyDescent="0.25">
      <c r="H135828" s="7"/>
    </row>
    <row r="136171" spans="8:8" x14ac:dyDescent="0.25">
      <c r="H136171" s="7"/>
    </row>
    <row r="136514" spans="8:8" x14ac:dyDescent="0.25">
      <c r="H136514" s="7"/>
    </row>
    <row r="136857" spans="8:8" x14ac:dyDescent="0.25">
      <c r="H136857" s="7"/>
    </row>
    <row r="137200" spans="8:8" x14ac:dyDescent="0.25">
      <c r="H137200" s="7"/>
    </row>
    <row r="137543" spans="8:8" x14ac:dyDescent="0.25">
      <c r="H137543" s="7"/>
    </row>
    <row r="137886" spans="8:8" x14ac:dyDescent="0.25">
      <c r="H137886" s="7"/>
    </row>
    <row r="138229" spans="8:8" x14ac:dyDescent="0.25">
      <c r="H138229" s="7"/>
    </row>
    <row r="138572" spans="8:8" x14ac:dyDescent="0.25">
      <c r="H138572" s="7"/>
    </row>
    <row r="138915" spans="8:8" x14ac:dyDescent="0.25">
      <c r="H138915" s="7"/>
    </row>
    <row r="139258" spans="8:8" x14ac:dyDescent="0.25">
      <c r="H139258" s="7"/>
    </row>
    <row r="139601" spans="8:8" x14ac:dyDescent="0.25">
      <c r="H139601" s="7"/>
    </row>
    <row r="139944" spans="8:8" x14ac:dyDescent="0.25">
      <c r="H139944" s="7"/>
    </row>
    <row r="140287" spans="8:8" x14ac:dyDescent="0.25">
      <c r="H140287" s="7"/>
    </row>
    <row r="140630" spans="8:8" x14ac:dyDescent="0.25">
      <c r="H140630" s="7"/>
    </row>
    <row r="140973" spans="8:8" x14ac:dyDescent="0.25">
      <c r="H140973" s="7"/>
    </row>
    <row r="141316" spans="8:8" x14ac:dyDescent="0.25">
      <c r="H141316" s="7"/>
    </row>
    <row r="141659" spans="8:8" x14ac:dyDescent="0.25">
      <c r="H141659" s="7"/>
    </row>
    <row r="142002" spans="8:8" x14ac:dyDescent="0.25">
      <c r="H142002" s="7"/>
    </row>
    <row r="142345" spans="8:8" x14ac:dyDescent="0.25">
      <c r="H142345" s="7"/>
    </row>
    <row r="142688" spans="8:8" x14ac:dyDescent="0.25">
      <c r="H142688" s="7"/>
    </row>
    <row r="143031" spans="8:8" x14ac:dyDescent="0.25">
      <c r="H143031" s="7"/>
    </row>
    <row r="143374" spans="8:8" x14ac:dyDescent="0.25">
      <c r="H143374" s="7"/>
    </row>
    <row r="143717" spans="8:8" x14ac:dyDescent="0.25">
      <c r="H143717" s="7"/>
    </row>
    <row r="144060" spans="8:8" x14ac:dyDescent="0.25">
      <c r="H144060" s="7"/>
    </row>
    <row r="144403" spans="8:8" x14ac:dyDescent="0.25">
      <c r="H144403" s="7"/>
    </row>
    <row r="144746" spans="8:8" x14ac:dyDescent="0.25">
      <c r="H144746" s="7"/>
    </row>
    <row r="145089" spans="8:8" x14ac:dyDescent="0.25">
      <c r="H145089" s="7"/>
    </row>
    <row r="145432" spans="8:8" x14ac:dyDescent="0.25">
      <c r="H145432" s="7"/>
    </row>
    <row r="145775" spans="8:8" x14ac:dyDescent="0.25">
      <c r="H145775" s="7"/>
    </row>
    <row r="146118" spans="8:8" x14ac:dyDescent="0.25">
      <c r="H146118" s="7"/>
    </row>
    <row r="146461" spans="8:8" x14ac:dyDescent="0.25">
      <c r="H146461" s="7"/>
    </row>
    <row r="146804" spans="8:8" x14ac:dyDescent="0.25">
      <c r="H146804" s="7"/>
    </row>
    <row r="147147" spans="8:8" x14ac:dyDescent="0.25">
      <c r="H147147" s="7"/>
    </row>
    <row r="147490" spans="8:8" x14ac:dyDescent="0.25">
      <c r="H147490" s="7"/>
    </row>
    <row r="147833" spans="8:8" x14ac:dyDescent="0.25">
      <c r="H147833" s="7"/>
    </row>
    <row r="148176" spans="8:8" x14ac:dyDescent="0.25">
      <c r="H148176" s="7"/>
    </row>
    <row r="148519" spans="8:8" x14ac:dyDescent="0.25">
      <c r="H148519" s="7"/>
    </row>
    <row r="148862" spans="8:8" x14ac:dyDescent="0.25">
      <c r="H148862" s="7"/>
    </row>
    <row r="149205" spans="8:8" x14ac:dyDescent="0.25">
      <c r="H149205" s="7"/>
    </row>
    <row r="149548" spans="8:8" x14ac:dyDescent="0.25">
      <c r="H149548" s="7"/>
    </row>
    <row r="149891" spans="8:8" x14ac:dyDescent="0.25">
      <c r="H149891" s="7"/>
    </row>
    <row r="150234" spans="8:8" x14ac:dyDescent="0.25">
      <c r="H150234" s="7"/>
    </row>
    <row r="150577" spans="8:8" x14ac:dyDescent="0.25">
      <c r="H150577" s="7"/>
    </row>
    <row r="150920" spans="8:8" x14ac:dyDescent="0.25">
      <c r="H150920" s="7"/>
    </row>
    <row r="151263" spans="8:8" x14ac:dyDescent="0.25">
      <c r="H151263" s="7"/>
    </row>
    <row r="151606" spans="8:8" x14ac:dyDescent="0.25">
      <c r="H151606" s="7"/>
    </row>
    <row r="151949" spans="8:8" x14ac:dyDescent="0.25">
      <c r="H151949" s="7"/>
    </row>
    <row r="152292" spans="8:8" x14ac:dyDescent="0.25">
      <c r="H152292" s="7"/>
    </row>
    <row r="152635" spans="8:8" x14ac:dyDescent="0.25">
      <c r="H152635" s="7"/>
    </row>
    <row r="152978" spans="8:8" x14ac:dyDescent="0.25">
      <c r="H152978" s="7"/>
    </row>
    <row r="153321" spans="8:8" x14ac:dyDescent="0.25">
      <c r="H153321" s="7"/>
    </row>
    <row r="153664" spans="8:8" x14ac:dyDescent="0.25">
      <c r="H153664" s="7"/>
    </row>
    <row r="154007" spans="8:8" x14ac:dyDescent="0.25">
      <c r="H154007" s="7"/>
    </row>
    <row r="154350" spans="8:8" x14ac:dyDescent="0.25">
      <c r="H154350" s="7"/>
    </row>
    <row r="154693" spans="8:8" x14ac:dyDescent="0.25">
      <c r="H154693" s="7"/>
    </row>
    <row r="155036" spans="8:8" x14ac:dyDescent="0.25">
      <c r="H155036" s="7"/>
    </row>
    <row r="155379" spans="8:8" x14ac:dyDescent="0.25">
      <c r="H155379" s="7"/>
    </row>
    <row r="155722" spans="8:8" x14ac:dyDescent="0.25">
      <c r="H155722" s="7"/>
    </row>
    <row r="156065" spans="8:8" x14ac:dyDescent="0.25">
      <c r="H156065" s="7"/>
    </row>
    <row r="156408" spans="8:8" x14ac:dyDescent="0.25">
      <c r="H156408" s="7"/>
    </row>
    <row r="156751" spans="8:8" x14ac:dyDescent="0.25">
      <c r="H156751" s="7"/>
    </row>
    <row r="157094" spans="8:8" x14ac:dyDescent="0.25">
      <c r="H157094" s="7"/>
    </row>
    <row r="157437" spans="8:8" x14ac:dyDescent="0.25">
      <c r="H157437" s="7"/>
    </row>
    <row r="157780" spans="8:8" x14ac:dyDescent="0.25">
      <c r="H157780" s="7"/>
    </row>
    <row r="158123" spans="8:8" x14ac:dyDescent="0.25">
      <c r="H158123" s="7"/>
    </row>
    <row r="158466" spans="8:8" x14ac:dyDescent="0.25">
      <c r="H158466" s="7"/>
    </row>
    <row r="158809" spans="8:8" x14ac:dyDescent="0.25">
      <c r="H158809" s="7"/>
    </row>
    <row r="159152" spans="8:8" x14ac:dyDescent="0.25">
      <c r="H159152" s="7"/>
    </row>
    <row r="159495" spans="8:8" x14ac:dyDescent="0.25">
      <c r="H159495" s="7"/>
    </row>
    <row r="159838" spans="8:8" x14ac:dyDescent="0.25">
      <c r="H159838" s="7"/>
    </row>
    <row r="160181" spans="8:8" x14ac:dyDescent="0.25">
      <c r="H160181" s="7"/>
    </row>
    <row r="160524" spans="8:8" x14ac:dyDescent="0.25">
      <c r="H160524" s="7"/>
    </row>
    <row r="160867" spans="8:8" x14ac:dyDescent="0.25">
      <c r="H160867" s="7"/>
    </row>
    <row r="161210" spans="8:8" x14ac:dyDescent="0.25">
      <c r="H161210" s="7"/>
    </row>
    <row r="161553" spans="8:8" x14ac:dyDescent="0.25">
      <c r="H161553" s="7"/>
    </row>
    <row r="161896" spans="8:8" x14ac:dyDescent="0.25">
      <c r="H161896" s="7"/>
    </row>
    <row r="162239" spans="8:8" x14ac:dyDescent="0.25">
      <c r="H162239" s="7"/>
    </row>
    <row r="162582" spans="8:8" x14ac:dyDescent="0.25">
      <c r="H162582" s="7"/>
    </row>
    <row r="162925" spans="8:8" x14ac:dyDescent="0.25">
      <c r="H162925" s="7"/>
    </row>
    <row r="163268" spans="8:8" x14ac:dyDescent="0.25">
      <c r="H163268" s="7"/>
    </row>
    <row r="163611" spans="8:8" x14ac:dyDescent="0.25">
      <c r="H163611" s="7"/>
    </row>
    <row r="163954" spans="8:8" x14ac:dyDescent="0.25">
      <c r="H163954" s="7"/>
    </row>
    <row r="164297" spans="8:8" x14ac:dyDescent="0.25">
      <c r="H164297" s="7"/>
    </row>
    <row r="164640" spans="8:8" x14ac:dyDescent="0.25">
      <c r="H164640" s="7"/>
    </row>
    <row r="164983" spans="8:8" x14ac:dyDescent="0.25">
      <c r="H164983" s="7"/>
    </row>
    <row r="165326" spans="8:8" x14ac:dyDescent="0.25">
      <c r="H165326" s="7"/>
    </row>
    <row r="165669" spans="8:8" x14ac:dyDescent="0.25">
      <c r="H165669" s="7"/>
    </row>
    <row r="166012" spans="8:8" x14ac:dyDescent="0.25">
      <c r="H166012" s="7"/>
    </row>
    <row r="166355" spans="8:8" x14ac:dyDescent="0.25">
      <c r="H166355" s="7"/>
    </row>
    <row r="166698" spans="8:8" x14ac:dyDescent="0.25">
      <c r="H166698" s="7"/>
    </row>
    <row r="167041" spans="8:8" x14ac:dyDescent="0.25">
      <c r="H167041" s="7"/>
    </row>
    <row r="167384" spans="8:8" x14ac:dyDescent="0.25">
      <c r="H167384" s="7"/>
    </row>
    <row r="167727" spans="8:8" x14ac:dyDescent="0.25">
      <c r="H167727" s="7"/>
    </row>
    <row r="168070" spans="8:8" x14ac:dyDescent="0.25">
      <c r="H168070" s="7"/>
    </row>
    <row r="168413" spans="8:8" x14ac:dyDescent="0.25">
      <c r="H168413" s="7"/>
    </row>
    <row r="168756" spans="8:8" x14ac:dyDescent="0.25">
      <c r="H168756" s="7"/>
    </row>
    <row r="169099" spans="8:8" x14ac:dyDescent="0.25">
      <c r="H169099" s="7"/>
    </row>
    <row r="169442" spans="8:8" x14ac:dyDescent="0.25">
      <c r="H169442" s="7"/>
    </row>
    <row r="169785" spans="8:8" x14ac:dyDescent="0.25">
      <c r="H169785" s="7"/>
    </row>
    <row r="170128" spans="8:8" x14ac:dyDescent="0.25">
      <c r="H170128" s="7"/>
    </row>
    <row r="170471" spans="8:8" x14ac:dyDescent="0.25">
      <c r="H170471" s="7"/>
    </row>
    <row r="170814" spans="8:8" x14ac:dyDescent="0.25">
      <c r="H170814" s="7"/>
    </row>
    <row r="171157" spans="8:8" x14ac:dyDescent="0.25">
      <c r="H171157" s="7"/>
    </row>
    <row r="171500" spans="8:8" x14ac:dyDescent="0.25">
      <c r="H171500" s="7"/>
    </row>
    <row r="171843" spans="8:8" x14ac:dyDescent="0.25">
      <c r="H171843" s="7"/>
    </row>
    <row r="172186" spans="8:8" x14ac:dyDescent="0.25">
      <c r="H172186" s="7"/>
    </row>
    <row r="172529" spans="8:8" x14ac:dyDescent="0.25">
      <c r="H172529" s="7"/>
    </row>
    <row r="172872" spans="8:8" x14ac:dyDescent="0.25">
      <c r="H172872" s="7"/>
    </row>
    <row r="173215" spans="8:8" x14ac:dyDescent="0.25">
      <c r="H173215" s="7"/>
    </row>
    <row r="173558" spans="8:8" x14ac:dyDescent="0.25">
      <c r="H173558" s="7"/>
    </row>
    <row r="173901" spans="8:8" x14ac:dyDescent="0.25">
      <c r="H173901" s="7"/>
    </row>
    <row r="174244" spans="8:8" x14ac:dyDescent="0.25">
      <c r="H174244" s="7"/>
    </row>
    <row r="174587" spans="8:8" x14ac:dyDescent="0.25">
      <c r="H174587" s="7"/>
    </row>
    <row r="174930" spans="8:8" x14ac:dyDescent="0.25">
      <c r="H174930" s="7"/>
    </row>
    <row r="175273" spans="8:8" x14ac:dyDescent="0.25">
      <c r="H175273" s="7"/>
    </row>
    <row r="175616" spans="8:8" x14ac:dyDescent="0.25">
      <c r="H175616" s="7"/>
    </row>
    <row r="175959" spans="8:8" x14ac:dyDescent="0.25">
      <c r="H175959" s="7"/>
    </row>
    <row r="176302" spans="8:8" x14ac:dyDescent="0.25">
      <c r="H176302" s="7"/>
    </row>
    <row r="176645" spans="8:8" x14ac:dyDescent="0.25">
      <c r="H176645" s="7"/>
    </row>
    <row r="176988" spans="8:8" x14ac:dyDescent="0.25">
      <c r="H176988" s="7"/>
    </row>
    <row r="177331" spans="8:8" x14ac:dyDescent="0.25">
      <c r="H177331" s="7"/>
    </row>
    <row r="177674" spans="8:8" x14ac:dyDescent="0.25">
      <c r="H177674" s="7"/>
    </row>
    <row r="178017" spans="8:8" x14ac:dyDescent="0.25">
      <c r="H178017" s="7"/>
    </row>
    <row r="178360" spans="8:8" x14ac:dyDescent="0.25">
      <c r="H178360" s="7"/>
    </row>
    <row r="178703" spans="8:8" x14ac:dyDescent="0.25">
      <c r="H178703" s="7"/>
    </row>
    <row r="179046" spans="8:8" x14ac:dyDescent="0.25">
      <c r="H179046" s="7"/>
    </row>
    <row r="179389" spans="8:8" x14ac:dyDescent="0.25">
      <c r="H179389" s="7"/>
    </row>
    <row r="179732" spans="8:8" x14ac:dyDescent="0.25">
      <c r="H179732" s="7"/>
    </row>
    <row r="180075" spans="8:8" x14ac:dyDescent="0.25">
      <c r="H180075" s="7"/>
    </row>
    <row r="180418" spans="8:8" x14ac:dyDescent="0.25">
      <c r="H180418" s="7"/>
    </row>
    <row r="180761" spans="8:8" x14ac:dyDescent="0.25">
      <c r="H180761" s="7"/>
    </row>
    <row r="181104" spans="8:8" x14ac:dyDescent="0.25">
      <c r="H181104" s="7"/>
    </row>
    <row r="181447" spans="8:8" x14ac:dyDescent="0.25">
      <c r="H181447" s="7"/>
    </row>
    <row r="181790" spans="8:8" x14ac:dyDescent="0.25">
      <c r="H181790" s="7"/>
    </row>
    <row r="182133" spans="8:8" x14ac:dyDescent="0.25">
      <c r="H182133" s="7"/>
    </row>
    <row r="182476" spans="8:8" x14ac:dyDescent="0.25">
      <c r="H182476" s="7"/>
    </row>
    <row r="182819" spans="8:8" x14ac:dyDescent="0.25">
      <c r="H182819" s="7"/>
    </row>
    <row r="183162" spans="8:8" x14ac:dyDescent="0.25">
      <c r="H183162" s="7"/>
    </row>
    <row r="183505" spans="8:8" x14ac:dyDescent="0.25">
      <c r="H183505" s="7"/>
    </row>
    <row r="183848" spans="8:8" x14ac:dyDescent="0.25">
      <c r="H183848" s="7"/>
    </row>
    <row r="184191" spans="8:8" x14ac:dyDescent="0.25">
      <c r="H184191" s="7"/>
    </row>
    <row r="184534" spans="8:8" x14ac:dyDescent="0.25">
      <c r="H184534" s="7"/>
    </row>
    <row r="184877" spans="8:8" x14ac:dyDescent="0.25">
      <c r="H184877" s="7"/>
    </row>
    <row r="185220" spans="8:8" x14ac:dyDescent="0.25">
      <c r="H185220" s="7"/>
    </row>
    <row r="185563" spans="8:8" x14ac:dyDescent="0.25">
      <c r="H185563" s="7"/>
    </row>
    <row r="185906" spans="8:8" x14ac:dyDescent="0.25">
      <c r="H185906" s="7"/>
    </row>
    <row r="186249" spans="8:8" x14ac:dyDescent="0.25">
      <c r="H186249" s="7"/>
    </row>
    <row r="186592" spans="8:8" x14ac:dyDescent="0.25">
      <c r="H186592" s="7"/>
    </row>
    <row r="186935" spans="8:8" x14ac:dyDescent="0.25">
      <c r="H186935" s="7"/>
    </row>
    <row r="187278" spans="8:8" x14ac:dyDescent="0.25">
      <c r="H187278" s="7"/>
    </row>
    <row r="187621" spans="8:8" x14ac:dyDescent="0.25">
      <c r="H187621" s="7"/>
    </row>
    <row r="187964" spans="8:8" x14ac:dyDescent="0.25">
      <c r="H187964" s="7"/>
    </row>
    <row r="188307" spans="8:8" x14ac:dyDescent="0.25">
      <c r="H188307" s="7"/>
    </row>
    <row r="188650" spans="8:8" x14ac:dyDescent="0.25">
      <c r="H188650" s="7"/>
    </row>
    <row r="188993" spans="8:8" x14ac:dyDescent="0.25">
      <c r="H188993" s="7"/>
    </row>
    <row r="189336" spans="8:8" x14ac:dyDescent="0.25">
      <c r="H189336" s="7"/>
    </row>
    <row r="189679" spans="8:8" x14ac:dyDescent="0.25">
      <c r="H189679" s="7"/>
    </row>
    <row r="190022" spans="8:8" x14ac:dyDescent="0.25">
      <c r="H190022" s="7"/>
    </row>
    <row r="190365" spans="8:8" x14ac:dyDescent="0.25">
      <c r="H190365" s="7"/>
    </row>
    <row r="190708" spans="8:8" x14ac:dyDescent="0.25">
      <c r="H190708" s="7"/>
    </row>
    <row r="191051" spans="8:8" x14ac:dyDescent="0.25">
      <c r="H191051" s="7"/>
    </row>
    <row r="191394" spans="8:8" x14ac:dyDescent="0.25">
      <c r="H191394" s="7"/>
    </row>
    <row r="191737" spans="8:8" x14ac:dyDescent="0.25">
      <c r="H191737" s="7"/>
    </row>
    <row r="192080" spans="8:8" x14ac:dyDescent="0.25">
      <c r="H192080" s="7"/>
    </row>
    <row r="192423" spans="8:8" x14ac:dyDescent="0.25">
      <c r="H192423" s="7"/>
    </row>
    <row r="192766" spans="8:8" x14ac:dyDescent="0.25">
      <c r="H192766" s="7"/>
    </row>
    <row r="193109" spans="8:8" x14ac:dyDescent="0.25">
      <c r="H193109" s="7"/>
    </row>
    <row r="193452" spans="8:8" x14ac:dyDescent="0.25">
      <c r="H193452" s="7"/>
    </row>
    <row r="193795" spans="8:8" x14ac:dyDescent="0.25">
      <c r="H193795" s="7"/>
    </row>
    <row r="194138" spans="8:8" x14ac:dyDescent="0.25">
      <c r="H194138" s="7"/>
    </row>
    <row r="194481" spans="8:8" x14ac:dyDescent="0.25">
      <c r="H194481" s="7"/>
    </row>
    <row r="194824" spans="8:8" x14ac:dyDescent="0.25">
      <c r="H194824" s="7"/>
    </row>
    <row r="195167" spans="8:8" x14ac:dyDescent="0.25">
      <c r="H195167" s="7"/>
    </row>
    <row r="195510" spans="8:8" x14ac:dyDescent="0.25">
      <c r="H195510" s="7"/>
    </row>
    <row r="195853" spans="8:8" x14ac:dyDescent="0.25">
      <c r="H195853" s="7"/>
    </row>
    <row r="196196" spans="8:8" x14ac:dyDescent="0.25">
      <c r="H196196" s="7"/>
    </row>
    <row r="196539" spans="8:8" x14ac:dyDescent="0.25">
      <c r="H196539" s="7"/>
    </row>
    <row r="196882" spans="8:8" x14ac:dyDescent="0.25">
      <c r="H196882" s="7"/>
    </row>
    <row r="197225" spans="8:8" x14ac:dyDescent="0.25">
      <c r="H197225" s="7"/>
    </row>
    <row r="197568" spans="8:8" x14ac:dyDescent="0.25">
      <c r="H197568" s="7"/>
    </row>
    <row r="197911" spans="8:8" x14ac:dyDescent="0.25">
      <c r="H197911" s="7"/>
    </row>
    <row r="198254" spans="8:8" x14ac:dyDescent="0.25">
      <c r="H198254" s="7"/>
    </row>
    <row r="198597" spans="8:8" x14ac:dyDescent="0.25">
      <c r="H198597" s="7"/>
    </row>
    <row r="198940" spans="8:8" x14ac:dyDescent="0.25">
      <c r="H198940" s="7"/>
    </row>
    <row r="199283" spans="8:8" x14ac:dyDescent="0.25">
      <c r="H199283" s="7"/>
    </row>
    <row r="199626" spans="8:8" x14ac:dyDescent="0.25">
      <c r="H199626" s="7"/>
    </row>
    <row r="199969" spans="8:8" x14ac:dyDescent="0.25">
      <c r="H199969" s="7"/>
    </row>
    <row r="200312" spans="8:8" x14ac:dyDescent="0.25">
      <c r="H200312" s="7"/>
    </row>
    <row r="200655" spans="8:8" x14ac:dyDescent="0.25">
      <c r="H200655" s="7"/>
    </row>
    <row r="200998" spans="8:8" x14ac:dyDescent="0.25">
      <c r="H200998" s="7"/>
    </row>
    <row r="201341" spans="8:8" x14ac:dyDescent="0.25">
      <c r="H201341" s="7"/>
    </row>
    <row r="201684" spans="8:8" x14ac:dyDescent="0.25">
      <c r="H201684" s="7"/>
    </row>
    <row r="202027" spans="8:8" x14ac:dyDescent="0.25">
      <c r="H202027" s="7"/>
    </row>
    <row r="202370" spans="8:8" x14ac:dyDescent="0.25">
      <c r="H202370" s="7"/>
    </row>
    <row r="202713" spans="8:8" x14ac:dyDescent="0.25">
      <c r="H202713" s="7"/>
    </row>
    <row r="203056" spans="8:8" x14ac:dyDescent="0.25">
      <c r="H203056" s="7"/>
    </row>
    <row r="203399" spans="8:8" x14ac:dyDescent="0.25">
      <c r="H203399" s="7"/>
    </row>
    <row r="203742" spans="8:8" x14ac:dyDescent="0.25">
      <c r="H203742" s="7"/>
    </row>
    <row r="204085" spans="8:8" x14ac:dyDescent="0.25">
      <c r="H204085" s="7"/>
    </row>
    <row r="204428" spans="8:8" x14ac:dyDescent="0.25">
      <c r="H204428" s="7"/>
    </row>
    <row r="204771" spans="8:8" x14ac:dyDescent="0.25">
      <c r="H204771" s="7"/>
    </row>
    <row r="205114" spans="8:8" x14ac:dyDescent="0.25">
      <c r="H205114" s="7"/>
    </row>
    <row r="205457" spans="8:8" x14ac:dyDescent="0.25">
      <c r="H205457" s="7"/>
    </row>
    <row r="205800" spans="8:8" x14ac:dyDescent="0.25">
      <c r="H205800" s="7"/>
    </row>
    <row r="206143" spans="8:8" x14ac:dyDescent="0.25">
      <c r="H206143" s="7"/>
    </row>
    <row r="206486" spans="8:8" x14ac:dyDescent="0.25">
      <c r="H206486" s="7"/>
    </row>
    <row r="206829" spans="8:8" x14ac:dyDescent="0.25">
      <c r="H206829" s="7"/>
    </row>
    <row r="207172" spans="8:8" x14ac:dyDescent="0.25">
      <c r="H207172" s="7"/>
    </row>
    <row r="207515" spans="8:8" x14ac:dyDescent="0.25">
      <c r="H207515" s="7"/>
    </row>
    <row r="207858" spans="8:8" x14ac:dyDescent="0.25">
      <c r="H207858" s="7"/>
    </row>
    <row r="208201" spans="8:8" x14ac:dyDescent="0.25">
      <c r="H208201" s="7"/>
    </row>
    <row r="208544" spans="8:8" x14ac:dyDescent="0.25">
      <c r="H208544" s="7"/>
    </row>
    <row r="208887" spans="8:8" x14ac:dyDescent="0.25">
      <c r="H208887" s="7"/>
    </row>
    <row r="209230" spans="8:8" x14ac:dyDescent="0.25">
      <c r="H209230" s="7"/>
    </row>
    <row r="209573" spans="8:8" x14ac:dyDescent="0.25">
      <c r="H209573" s="7"/>
    </row>
    <row r="209916" spans="8:8" x14ac:dyDescent="0.25">
      <c r="H209916" s="7"/>
    </row>
    <row r="210259" spans="8:8" x14ac:dyDescent="0.25">
      <c r="H210259" s="7"/>
    </row>
    <row r="210602" spans="8:8" x14ac:dyDescent="0.25">
      <c r="H210602" s="7"/>
    </row>
    <row r="210945" spans="8:8" x14ac:dyDescent="0.25">
      <c r="H210945" s="7"/>
    </row>
    <row r="211288" spans="8:8" x14ac:dyDescent="0.25">
      <c r="H211288" s="7"/>
    </row>
    <row r="211631" spans="8:8" x14ac:dyDescent="0.25">
      <c r="H211631" s="7"/>
    </row>
    <row r="211974" spans="8:8" x14ac:dyDescent="0.25">
      <c r="H211974" s="7"/>
    </row>
    <row r="212317" spans="8:8" x14ac:dyDescent="0.25">
      <c r="H212317" s="7"/>
    </row>
    <row r="212660" spans="8:8" x14ac:dyDescent="0.25">
      <c r="H212660" s="7"/>
    </row>
    <row r="213003" spans="8:8" x14ac:dyDescent="0.25">
      <c r="H213003" s="7"/>
    </row>
    <row r="213346" spans="8:8" x14ac:dyDescent="0.25">
      <c r="H213346" s="7"/>
    </row>
    <row r="213689" spans="8:8" x14ac:dyDescent="0.25">
      <c r="H213689" s="7"/>
    </row>
    <row r="214032" spans="8:8" x14ac:dyDescent="0.25">
      <c r="H214032" s="7"/>
    </row>
    <row r="214375" spans="8:8" x14ac:dyDescent="0.25">
      <c r="H214375" s="7"/>
    </row>
    <row r="214718" spans="8:8" x14ac:dyDescent="0.25">
      <c r="H214718" s="7"/>
    </row>
    <row r="215061" spans="8:8" x14ac:dyDescent="0.25">
      <c r="H215061" s="7"/>
    </row>
    <row r="215404" spans="8:8" x14ac:dyDescent="0.25">
      <c r="H215404" s="7"/>
    </row>
    <row r="215747" spans="8:8" x14ac:dyDescent="0.25">
      <c r="H215747" s="7"/>
    </row>
    <row r="216090" spans="8:8" x14ac:dyDescent="0.25">
      <c r="H216090" s="7"/>
    </row>
    <row r="216433" spans="8:8" x14ac:dyDescent="0.25">
      <c r="H216433" s="7"/>
    </row>
    <row r="216776" spans="8:8" x14ac:dyDescent="0.25">
      <c r="H216776" s="7"/>
    </row>
    <row r="217119" spans="8:8" x14ac:dyDescent="0.25">
      <c r="H217119" s="7"/>
    </row>
    <row r="217462" spans="8:8" x14ac:dyDescent="0.25">
      <c r="H217462" s="7"/>
    </row>
    <row r="217805" spans="8:8" x14ac:dyDescent="0.25">
      <c r="H217805" s="7"/>
    </row>
    <row r="218148" spans="8:8" x14ac:dyDescent="0.25">
      <c r="H218148" s="7"/>
    </row>
    <row r="218491" spans="8:8" x14ac:dyDescent="0.25">
      <c r="H218491" s="7"/>
    </row>
    <row r="218834" spans="8:8" x14ac:dyDescent="0.25">
      <c r="H218834" s="7"/>
    </row>
    <row r="219177" spans="8:8" x14ac:dyDescent="0.25">
      <c r="H219177" s="7"/>
    </row>
    <row r="219520" spans="8:8" x14ac:dyDescent="0.25">
      <c r="H219520" s="7"/>
    </row>
    <row r="219863" spans="8:8" x14ac:dyDescent="0.25">
      <c r="H219863" s="7"/>
    </row>
    <row r="220206" spans="8:8" x14ac:dyDescent="0.25">
      <c r="H220206" s="7"/>
    </row>
    <row r="220549" spans="8:8" x14ac:dyDescent="0.25">
      <c r="H220549" s="7"/>
    </row>
    <row r="220892" spans="8:8" x14ac:dyDescent="0.25">
      <c r="H220892" s="7"/>
    </row>
    <row r="221235" spans="8:8" x14ac:dyDescent="0.25">
      <c r="H221235" s="7"/>
    </row>
    <row r="221578" spans="8:8" x14ac:dyDescent="0.25">
      <c r="H221578" s="7"/>
    </row>
    <row r="221921" spans="8:8" x14ac:dyDescent="0.25">
      <c r="H221921" s="7"/>
    </row>
    <row r="222264" spans="8:8" x14ac:dyDescent="0.25">
      <c r="H222264" s="7"/>
    </row>
    <row r="222607" spans="8:8" x14ac:dyDescent="0.25">
      <c r="H222607" s="7"/>
    </row>
    <row r="222950" spans="8:8" x14ac:dyDescent="0.25">
      <c r="H222950" s="7"/>
    </row>
    <row r="223293" spans="8:8" x14ac:dyDescent="0.25">
      <c r="H223293" s="7"/>
    </row>
    <row r="223636" spans="8:8" x14ac:dyDescent="0.25">
      <c r="H223636" s="7"/>
    </row>
    <row r="223979" spans="8:8" x14ac:dyDescent="0.25">
      <c r="H223979" s="7"/>
    </row>
    <row r="224322" spans="8:8" x14ac:dyDescent="0.25">
      <c r="H224322" s="7"/>
    </row>
    <row r="224665" spans="8:8" x14ac:dyDescent="0.25">
      <c r="H224665" s="7"/>
    </row>
    <row r="225008" spans="8:8" x14ac:dyDescent="0.25">
      <c r="H225008" s="7"/>
    </row>
    <row r="225351" spans="8:8" x14ac:dyDescent="0.25">
      <c r="H225351" s="7"/>
    </row>
    <row r="225694" spans="8:8" x14ac:dyDescent="0.25">
      <c r="H225694" s="7"/>
    </row>
    <row r="226037" spans="8:8" x14ac:dyDescent="0.25">
      <c r="H226037" s="7"/>
    </row>
    <row r="226380" spans="8:8" x14ac:dyDescent="0.25">
      <c r="H226380" s="7"/>
    </row>
    <row r="226723" spans="8:8" x14ac:dyDescent="0.25">
      <c r="H226723" s="7"/>
    </row>
    <row r="227066" spans="8:8" x14ac:dyDescent="0.25">
      <c r="H227066" s="7"/>
    </row>
    <row r="227409" spans="8:8" x14ac:dyDescent="0.25">
      <c r="H227409" s="7"/>
    </row>
    <row r="227752" spans="8:8" x14ac:dyDescent="0.25">
      <c r="H227752" s="7"/>
    </row>
    <row r="228095" spans="8:8" x14ac:dyDescent="0.25">
      <c r="H228095" s="7"/>
    </row>
    <row r="228438" spans="8:8" x14ac:dyDescent="0.25">
      <c r="H228438" s="7"/>
    </row>
    <row r="228781" spans="8:8" x14ac:dyDescent="0.25">
      <c r="H228781" s="7"/>
    </row>
    <row r="229124" spans="8:8" x14ac:dyDescent="0.25">
      <c r="H229124" s="7"/>
    </row>
    <row r="229467" spans="8:8" x14ac:dyDescent="0.25">
      <c r="H229467" s="7"/>
    </row>
    <row r="229810" spans="8:8" x14ac:dyDescent="0.25">
      <c r="H229810" s="7"/>
    </row>
    <row r="230153" spans="8:8" x14ac:dyDescent="0.25">
      <c r="H230153" s="7"/>
    </row>
    <row r="230496" spans="8:8" x14ac:dyDescent="0.25">
      <c r="H230496" s="7"/>
    </row>
    <row r="230839" spans="8:8" x14ac:dyDescent="0.25">
      <c r="H230839" s="7"/>
    </row>
    <row r="231182" spans="8:8" x14ac:dyDescent="0.25">
      <c r="H231182" s="7"/>
    </row>
    <row r="231525" spans="8:8" x14ac:dyDescent="0.25">
      <c r="H231525" s="7"/>
    </row>
    <row r="231868" spans="8:8" x14ac:dyDescent="0.25">
      <c r="H231868" s="7"/>
    </row>
    <row r="232211" spans="8:8" x14ac:dyDescent="0.25">
      <c r="H232211" s="7"/>
    </row>
    <row r="232554" spans="8:8" x14ac:dyDescent="0.25">
      <c r="H232554" s="7"/>
    </row>
    <row r="232897" spans="8:8" x14ac:dyDescent="0.25">
      <c r="H232897" s="7"/>
    </row>
    <row r="233240" spans="8:8" x14ac:dyDescent="0.25">
      <c r="H233240" s="7"/>
    </row>
    <row r="233583" spans="8:8" x14ac:dyDescent="0.25">
      <c r="H233583" s="7"/>
    </row>
    <row r="233926" spans="8:8" x14ac:dyDescent="0.25">
      <c r="H233926" s="7"/>
    </row>
    <row r="234269" spans="8:8" x14ac:dyDescent="0.25">
      <c r="H234269" s="7"/>
    </row>
    <row r="234612" spans="8:8" x14ac:dyDescent="0.25">
      <c r="H234612" s="7"/>
    </row>
    <row r="234955" spans="8:8" x14ac:dyDescent="0.25">
      <c r="H234955" s="7"/>
    </row>
    <row r="235298" spans="8:8" x14ac:dyDescent="0.25">
      <c r="H235298" s="7"/>
    </row>
    <row r="235641" spans="8:8" x14ac:dyDescent="0.25">
      <c r="H235641" s="7"/>
    </row>
    <row r="235984" spans="8:8" x14ac:dyDescent="0.25">
      <c r="H235984" s="7"/>
    </row>
    <row r="236327" spans="8:8" x14ac:dyDescent="0.25">
      <c r="H236327" s="7"/>
    </row>
    <row r="236670" spans="8:8" x14ac:dyDescent="0.25">
      <c r="H236670" s="7"/>
    </row>
    <row r="237013" spans="8:8" x14ac:dyDescent="0.25">
      <c r="H237013" s="7"/>
    </row>
    <row r="237356" spans="8:8" x14ac:dyDescent="0.25">
      <c r="H237356" s="7"/>
    </row>
    <row r="237699" spans="8:8" x14ac:dyDescent="0.25">
      <c r="H237699" s="7"/>
    </row>
    <row r="238042" spans="8:8" x14ac:dyDescent="0.25">
      <c r="H238042" s="7"/>
    </row>
    <row r="238385" spans="8:8" x14ac:dyDescent="0.25">
      <c r="H238385" s="7"/>
    </row>
    <row r="238728" spans="8:8" x14ac:dyDescent="0.25">
      <c r="H238728" s="7"/>
    </row>
    <row r="239071" spans="8:8" x14ac:dyDescent="0.25">
      <c r="H239071" s="7"/>
    </row>
    <row r="239414" spans="8:8" x14ac:dyDescent="0.25">
      <c r="H239414" s="7"/>
    </row>
    <row r="239757" spans="8:8" x14ac:dyDescent="0.25">
      <c r="H239757" s="7"/>
    </row>
    <row r="240100" spans="8:8" x14ac:dyDescent="0.25">
      <c r="H240100" s="7"/>
    </row>
    <row r="240443" spans="8:8" x14ac:dyDescent="0.25">
      <c r="H240443" s="7"/>
    </row>
    <row r="240786" spans="8:8" x14ac:dyDescent="0.25">
      <c r="H240786" s="7"/>
    </row>
    <row r="241129" spans="8:8" x14ac:dyDescent="0.25">
      <c r="H241129" s="7"/>
    </row>
    <row r="241472" spans="8:8" x14ac:dyDescent="0.25">
      <c r="H241472" s="7"/>
    </row>
    <row r="241815" spans="8:8" x14ac:dyDescent="0.25">
      <c r="H241815" s="7"/>
    </row>
    <row r="242158" spans="8:8" x14ac:dyDescent="0.25">
      <c r="H242158" s="7"/>
    </row>
    <row r="242501" spans="8:8" x14ac:dyDescent="0.25">
      <c r="H242501" s="7"/>
    </row>
    <row r="242844" spans="8:8" x14ac:dyDescent="0.25">
      <c r="H242844" s="7"/>
    </row>
    <row r="243187" spans="8:8" x14ac:dyDescent="0.25">
      <c r="H243187" s="7"/>
    </row>
    <row r="243530" spans="8:8" x14ac:dyDescent="0.25">
      <c r="H243530" s="7"/>
    </row>
    <row r="243873" spans="8:8" x14ac:dyDescent="0.25">
      <c r="H243873" s="7"/>
    </row>
    <row r="244216" spans="8:8" x14ac:dyDescent="0.25">
      <c r="H244216" s="7"/>
    </row>
    <row r="244559" spans="8:8" x14ac:dyDescent="0.25">
      <c r="H244559" s="7"/>
    </row>
    <row r="244902" spans="8:8" x14ac:dyDescent="0.25">
      <c r="H244902" s="7"/>
    </row>
    <row r="245245" spans="8:8" x14ac:dyDescent="0.25">
      <c r="H245245" s="7"/>
    </row>
    <row r="245588" spans="8:8" x14ac:dyDescent="0.25">
      <c r="H245588" s="7"/>
    </row>
    <row r="245931" spans="8:8" x14ac:dyDescent="0.25">
      <c r="H245931" s="7"/>
    </row>
    <row r="246274" spans="8:8" x14ac:dyDescent="0.25">
      <c r="H246274" s="7"/>
    </row>
    <row r="246617" spans="8:8" x14ac:dyDescent="0.25">
      <c r="H246617" s="7"/>
    </row>
    <row r="246960" spans="8:8" x14ac:dyDescent="0.25">
      <c r="H246960" s="7"/>
    </row>
    <row r="247303" spans="8:8" x14ac:dyDescent="0.25">
      <c r="H247303" s="7"/>
    </row>
    <row r="247646" spans="8:8" x14ac:dyDescent="0.25">
      <c r="H247646" s="7"/>
    </row>
    <row r="247989" spans="8:8" x14ac:dyDescent="0.25">
      <c r="H247989" s="7"/>
    </row>
    <row r="248332" spans="8:8" x14ac:dyDescent="0.25">
      <c r="H248332" s="7"/>
    </row>
    <row r="248675" spans="8:8" x14ac:dyDescent="0.25">
      <c r="H248675" s="7"/>
    </row>
    <row r="249018" spans="8:8" x14ac:dyDescent="0.25">
      <c r="H249018" s="7"/>
    </row>
    <row r="249361" spans="8:8" x14ac:dyDescent="0.25">
      <c r="H249361" s="7"/>
    </row>
    <row r="249704" spans="8:8" x14ac:dyDescent="0.25">
      <c r="H249704" s="7"/>
    </row>
    <row r="250047" spans="8:8" x14ac:dyDescent="0.25">
      <c r="H250047" s="7"/>
    </row>
    <row r="250390" spans="8:8" x14ac:dyDescent="0.25">
      <c r="H250390" s="7"/>
    </row>
    <row r="250733" spans="8:8" x14ac:dyDescent="0.25">
      <c r="H250733" s="7"/>
    </row>
    <row r="251076" spans="8:8" x14ac:dyDescent="0.25">
      <c r="H251076" s="7"/>
    </row>
    <row r="251419" spans="8:8" x14ac:dyDescent="0.25">
      <c r="H251419" s="7"/>
    </row>
    <row r="251762" spans="8:8" x14ac:dyDescent="0.25">
      <c r="H251762" s="7"/>
    </row>
    <row r="252105" spans="8:8" x14ac:dyDescent="0.25">
      <c r="H252105" s="7"/>
    </row>
    <row r="252448" spans="8:8" x14ac:dyDescent="0.25">
      <c r="H252448" s="7"/>
    </row>
    <row r="252791" spans="8:8" x14ac:dyDescent="0.25">
      <c r="H252791" s="7"/>
    </row>
    <row r="253134" spans="8:8" x14ac:dyDescent="0.25">
      <c r="H253134" s="7"/>
    </row>
    <row r="253477" spans="8:8" x14ac:dyDescent="0.25">
      <c r="H253477" s="7"/>
    </row>
    <row r="253820" spans="8:8" x14ac:dyDescent="0.25">
      <c r="H253820" s="7"/>
    </row>
    <row r="254163" spans="8:8" x14ac:dyDescent="0.25">
      <c r="H254163" s="7"/>
    </row>
    <row r="254506" spans="8:8" x14ac:dyDescent="0.25">
      <c r="H254506" s="7"/>
    </row>
    <row r="254849" spans="8:8" x14ac:dyDescent="0.25">
      <c r="H254849" s="7"/>
    </row>
    <row r="255192" spans="8:8" x14ac:dyDescent="0.25">
      <c r="H255192" s="7"/>
    </row>
    <row r="255535" spans="8:8" x14ac:dyDescent="0.25">
      <c r="H255535" s="7"/>
    </row>
    <row r="255878" spans="8:8" x14ac:dyDescent="0.25">
      <c r="H255878" s="7"/>
    </row>
    <row r="256221" spans="8:8" x14ac:dyDescent="0.25">
      <c r="H256221" s="7"/>
    </row>
    <row r="256564" spans="8:8" x14ac:dyDescent="0.25">
      <c r="H256564" s="7"/>
    </row>
    <row r="256907" spans="8:8" x14ac:dyDescent="0.25">
      <c r="H256907" s="7"/>
    </row>
    <row r="257250" spans="8:8" x14ac:dyDescent="0.25">
      <c r="H257250" s="7"/>
    </row>
    <row r="257593" spans="8:8" x14ac:dyDescent="0.25">
      <c r="H257593" s="7"/>
    </row>
    <row r="257936" spans="8:8" x14ac:dyDescent="0.25">
      <c r="H257936" s="7"/>
    </row>
    <row r="258279" spans="8:8" x14ac:dyDescent="0.25">
      <c r="H258279" s="7"/>
    </row>
    <row r="258622" spans="8:8" x14ac:dyDescent="0.25">
      <c r="H258622" s="7"/>
    </row>
    <row r="258965" spans="8:8" x14ac:dyDescent="0.25">
      <c r="H258965" s="7"/>
    </row>
    <row r="259308" spans="8:8" x14ac:dyDescent="0.25">
      <c r="H259308" s="7"/>
    </row>
    <row r="259651" spans="8:8" x14ac:dyDescent="0.25">
      <c r="H259651" s="7"/>
    </row>
    <row r="259994" spans="8:8" x14ac:dyDescent="0.25">
      <c r="H259994" s="7"/>
    </row>
    <row r="260337" spans="8:8" x14ac:dyDescent="0.25">
      <c r="H260337" s="7"/>
    </row>
    <row r="260680" spans="8:8" x14ac:dyDescent="0.25">
      <c r="H260680" s="7"/>
    </row>
    <row r="261023" spans="8:8" x14ac:dyDescent="0.25">
      <c r="H261023" s="7"/>
    </row>
    <row r="261366" spans="8:8" x14ac:dyDescent="0.25">
      <c r="H261366" s="7"/>
    </row>
    <row r="261709" spans="8:8" x14ac:dyDescent="0.25">
      <c r="H261709" s="7"/>
    </row>
    <row r="262052" spans="8:8" x14ac:dyDescent="0.25">
      <c r="H262052" s="7"/>
    </row>
    <row r="262395" spans="8:8" x14ac:dyDescent="0.25">
      <c r="H262395" s="7"/>
    </row>
    <row r="262738" spans="8:8" x14ac:dyDescent="0.25">
      <c r="H262738" s="7"/>
    </row>
    <row r="263081" spans="8:8" x14ac:dyDescent="0.25">
      <c r="H263081" s="7"/>
    </row>
    <row r="263424" spans="8:8" x14ac:dyDescent="0.25">
      <c r="H263424" s="7"/>
    </row>
    <row r="263767" spans="8:8" x14ac:dyDescent="0.25">
      <c r="H263767" s="7"/>
    </row>
    <row r="264110" spans="8:8" x14ac:dyDescent="0.25">
      <c r="H264110" s="7"/>
    </row>
    <row r="264453" spans="8:8" x14ac:dyDescent="0.25">
      <c r="H264453" s="7"/>
    </row>
    <row r="264796" spans="8:8" x14ac:dyDescent="0.25">
      <c r="H264796" s="7"/>
    </row>
    <row r="265139" spans="8:8" x14ac:dyDescent="0.25">
      <c r="H265139" s="7"/>
    </row>
    <row r="265482" spans="8:8" x14ac:dyDescent="0.25">
      <c r="H265482" s="7"/>
    </row>
    <row r="265825" spans="8:8" x14ac:dyDescent="0.25">
      <c r="H265825" s="7"/>
    </row>
    <row r="266168" spans="8:8" x14ac:dyDescent="0.25">
      <c r="H266168" s="7"/>
    </row>
    <row r="266511" spans="8:8" x14ac:dyDescent="0.25">
      <c r="H266511" s="7"/>
    </row>
    <row r="266854" spans="8:8" x14ac:dyDescent="0.25">
      <c r="H266854" s="7"/>
    </row>
    <row r="267197" spans="8:8" x14ac:dyDescent="0.25">
      <c r="H267197" s="7"/>
    </row>
    <row r="267540" spans="8:8" x14ac:dyDescent="0.25">
      <c r="H267540" s="7"/>
    </row>
    <row r="267883" spans="8:8" x14ac:dyDescent="0.25">
      <c r="H267883" s="7"/>
    </row>
    <row r="268226" spans="8:8" x14ac:dyDescent="0.25">
      <c r="H268226" s="7"/>
    </row>
    <row r="268569" spans="8:8" x14ac:dyDescent="0.25">
      <c r="H268569" s="7"/>
    </row>
    <row r="268912" spans="8:8" x14ac:dyDescent="0.25">
      <c r="H268912" s="7"/>
    </row>
    <row r="269255" spans="8:8" x14ac:dyDescent="0.25">
      <c r="H269255" s="7"/>
    </row>
    <row r="269598" spans="8:8" x14ac:dyDescent="0.25">
      <c r="H269598" s="7"/>
    </row>
    <row r="269941" spans="8:8" x14ac:dyDescent="0.25">
      <c r="H269941" s="7"/>
    </row>
    <row r="270284" spans="8:8" x14ac:dyDescent="0.25">
      <c r="H270284" s="7"/>
    </row>
    <row r="270627" spans="8:8" x14ac:dyDescent="0.25">
      <c r="H270627" s="7"/>
    </row>
    <row r="270970" spans="8:8" x14ac:dyDescent="0.25">
      <c r="H270970" s="7"/>
    </row>
    <row r="271313" spans="8:8" x14ac:dyDescent="0.25">
      <c r="H271313" s="7"/>
    </row>
    <row r="271656" spans="8:8" x14ac:dyDescent="0.25">
      <c r="H271656" s="7"/>
    </row>
    <row r="271999" spans="8:8" x14ac:dyDescent="0.25">
      <c r="H271999" s="7"/>
    </row>
    <row r="272342" spans="8:8" x14ac:dyDescent="0.25">
      <c r="H272342" s="7"/>
    </row>
    <row r="272685" spans="8:8" x14ac:dyDescent="0.25">
      <c r="H272685" s="7"/>
    </row>
    <row r="273028" spans="8:8" x14ac:dyDescent="0.25">
      <c r="H273028" s="7"/>
    </row>
    <row r="273371" spans="8:8" x14ac:dyDescent="0.25">
      <c r="H273371" s="7"/>
    </row>
    <row r="273714" spans="8:8" x14ac:dyDescent="0.25">
      <c r="H273714" s="7"/>
    </row>
    <row r="274057" spans="8:8" x14ac:dyDescent="0.25">
      <c r="H274057" s="7"/>
    </row>
    <row r="274400" spans="8:8" x14ac:dyDescent="0.25">
      <c r="H274400" s="7"/>
    </row>
    <row r="274743" spans="8:8" x14ac:dyDescent="0.25">
      <c r="H274743" s="7"/>
    </row>
    <row r="275086" spans="8:8" x14ac:dyDescent="0.25">
      <c r="H275086" s="7"/>
    </row>
    <row r="275429" spans="8:8" x14ac:dyDescent="0.25">
      <c r="H275429" s="7"/>
    </row>
    <row r="275772" spans="8:8" x14ac:dyDescent="0.25">
      <c r="H275772" s="7"/>
    </row>
    <row r="276115" spans="8:8" x14ac:dyDescent="0.25">
      <c r="H276115" s="7"/>
    </row>
    <row r="276458" spans="8:8" x14ac:dyDescent="0.25">
      <c r="H276458" s="7"/>
    </row>
    <row r="276801" spans="8:8" x14ac:dyDescent="0.25">
      <c r="H276801" s="7"/>
    </row>
    <row r="277144" spans="8:8" x14ac:dyDescent="0.25">
      <c r="H277144" s="7"/>
    </row>
    <row r="277487" spans="8:8" x14ac:dyDescent="0.25">
      <c r="H277487" s="7"/>
    </row>
    <row r="277830" spans="8:8" x14ac:dyDescent="0.25">
      <c r="H277830" s="7"/>
    </row>
    <row r="278173" spans="8:8" x14ac:dyDescent="0.25">
      <c r="H278173" s="7"/>
    </row>
    <row r="278516" spans="8:8" x14ac:dyDescent="0.25">
      <c r="H278516" s="7"/>
    </row>
    <row r="278859" spans="8:8" x14ac:dyDescent="0.25">
      <c r="H278859" s="7"/>
    </row>
    <row r="279202" spans="8:8" x14ac:dyDescent="0.25">
      <c r="H279202" s="7"/>
    </row>
    <row r="279545" spans="8:8" x14ac:dyDescent="0.25">
      <c r="H279545" s="7"/>
    </row>
    <row r="279888" spans="8:8" x14ac:dyDescent="0.25">
      <c r="H279888" s="7"/>
    </row>
    <row r="280231" spans="8:8" x14ac:dyDescent="0.25">
      <c r="H280231" s="7"/>
    </row>
    <row r="280574" spans="8:8" x14ac:dyDescent="0.25">
      <c r="H280574" s="7"/>
    </row>
    <row r="280917" spans="8:8" x14ac:dyDescent="0.25">
      <c r="H280917" s="7"/>
    </row>
    <row r="281260" spans="8:8" x14ac:dyDescent="0.25">
      <c r="H281260" s="7"/>
    </row>
    <row r="281603" spans="8:8" x14ac:dyDescent="0.25">
      <c r="H281603" s="7"/>
    </row>
    <row r="281946" spans="8:8" x14ac:dyDescent="0.25">
      <c r="H281946" s="7"/>
    </row>
    <row r="282289" spans="8:8" x14ac:dyDescent="0.25">
      <c r="H282289" s="7"/>
    </row>
    <row r="282632" spans="8:8" x14ac:dyDescent="0.25">
      <c r="H282632" s="7"/>
    </row>
    <row r="282975" spans="8:8" x14ac:dyDescent="0.25">
      <c r="H282975" s="7"/>
    </row>
    <row r="283318" spans="8:8" x14ac:dyDescent="0.25">
      <c r="H283318" s="7"/>
    </row>
    <row r="283661" spans="8:8" x14ac:dyDescent="0.25">
      <c r="H283661" s="7"/>
    </row>
    <row r="284004" spans="8:8" x14ac:dyDescent="0.25">
      <c r="H284004" s="7"/>
    </row>
    <row r="284347" spans="8:8" x14ac:dyDescent="0.25">
      <c r="H284347" s="7"/>
    </row>
    <row r="284690" spans="8:8" x14ac:dyDescent="0.25">
      <c r="H284690" s="7"/>
    </row>
    <row r="285033" spans="8:8" x14ac:dyDescent="0.25">
      <c r="H285033" s="7"/>
    </row>
    <row r="285376" spans="8:8" x14ac:dyDescent="0.25">
      <c r="H285376" s="7"/>
    </row>
    <row r="285719" spans="8:8" x14ac:dyDescent="0.25">
      <c r="H285719" s="7"/>
    </row>
    <row r="286062" spans="8:8" x14ac:dyDescent="0.25">
      <c r="H286062" s="7"/>
    </row>
    <row r="286405" spans="8:8" x14ac:dyDescent="0.25">
      <c r="H286405" s="7"/>
    </row>
    <row r="286748" spans="8:8" x14ac:dyDescent="0.25">
      <c r="H286748" s="7"/>
    </row>
    <row r="287091" spans="8:8" x14ac:dyDescent="0.25">
      <c r="H287091" s="7"/>
    </row>
    <row r="287434" spans="8:8" x14ac:dyDescent="0.25">
      <c r="H287434" s="7"/>
    </row>
    <row r="287777" spans="8:8" x14ac:dyDescent="0.25">
      <c r="H287777" s="7"/>
    </row>
    <row r="288120" spans="8:8" x14ac:dyDescent="0.25">
      <c r="H288120" s="7"/>
    </row>
    <row r="288463" spans="8:8" x14ac:dyDescent="0.25">
      <c r="H288463" s="7"/>
    </row>
    <row r="288806" spans="8:8" x14ac:dyDescent="0.25">
      <c r="H288806" s="7"/>
    </row>
    <row r="289149" spans="8:8" x14ac:dyDescent="0.25">
      <c r="H289149" s="7"/>
    </row>
    <row r="289492" spans="8:8" x14ac:dyDescent="0.25">
      <c r="H289492" s="7"/>
    </row>
    <row r="289835" spans="8:8" x14ac:dyDescent="0.25">
      <c r="H289835" s="7"/>
    </row>
    <row r="290178" spans="8:8" x14ac:dyDescent="0.25">
      <c r="H290178" s="7"/>
    </row>
    <row r="290521" spans="8:8" x14ac:dyDescent="0.25">
      <c r="H290521" s="7"/>
    </row>
    <row r="290864" spans="8:8" x14ac:dyDescent="0.25">
      <c r="H290864" s="7"/>
    </row>
    <row r="291207" spans="8:8" x14ac:dyDescent="0.25">
      <c r="H291207" s="7"/>
    </row>
    <row r="291550" spans="8:8" x14ac:dyDescent="0.25">
      <c r="H291550" s="7"/>
    </row>
    <row r="291893" spans="8:8" x14ac:dyDescent="0.25">
      <c r="H291893" s="7"/>
    </row>
    <row r="292236" spans="8:8" x14ac:dyDescent="0.25">
      <c r="H292236" s="7"/>
    </row>
    <row r="292579" spans="8:8" x14ac:dyDescent="0.25">
      <c r="H292579" s="7"/>
    </row>
    <row r="292922" spans="8:8" x14ac:dyDescent="0.25">
      <c r="H292922" s="7"/>
    </row>
    <row r="293265" spans="8:8" x14ac:dyDescent="0.25">
      <c r="H293265" s="7"/>
    </row>
    <row r="293608" spans="8:8" x14ac:dyDescent="0.25">
      <c r="H293608" s="7"/>
    </row>
    <row r="293951" spans="8:8" x14ac:dyDescent="0.25">
      <c r="H293951" s="7"/>
    </row>
    <row r="294294" spans="8:8" x14ac:dyDescent="0.25">
      <c r="H294294" s="7"/>
    </row>
    <row r="294637" spans="8:8" x14ac:dyDescent="0.25">
      <c r="H294637" s="7"/>
    </row>
    <row r="294980" spans="8:8" x14ac:dyDescent="0.25">
      <c r="H294980" s="7"/>
    </row>
    <row r="295323" spans="8:8" x14ac:dyDescent="0.25">
      <c r="H295323" s="7"/>
    </row>
    <row r="295666" spans="8:8" x14ac:dyDescent="0.25">
      <c r="H295666" s="7"/>
    </row>
    <row r="296009" spans="8:8" x14ac:dyDescent="0.25">
      <c r="H296009" s="7"/>
    </row>
    <row r="296352" spans="8:8" x14ac:dyDescent="0.25">
      <c r="H296352" s="7"/>
    </row>
    <row r="296695" spans="8:8" x14ac:dyDescent="0.25">
      <c r="H296695" s="7"/>
    </row>
    <row r="297038" spans="8:8" x14ac:dyDescent="0.25">
      <c r="H297038" s="7"/>
    </row>
    <row r="297381" spans="8:8" x14ac:dyDescent="0.25">
      <c r="H297381" s="7"/>
    </row>
    <row r="297724" spans="8:8" x14ac:dyDescent="0.25">
      <c r="H297724" s="7"/>
    </row>
    <row r="298067" spans="8:8" x14ac:dyDescent="0.25">
      <c r="H298067" s="7"/>
    </row>
    <row r="298410" spans="8:8" x14ac:dyDescent="0.25">
      <c r="H298410" s="7"/>
    </row>
    <row r="298753" spans="8:8" x14ac:dyDescent="0.25">
      <c r="H298753" s="7"/>
    </row>
    <row r="299096" spans="8:8" x14ac:dyDescent="0.25">
      <c r="H299096" s="7"/>
    </row>
    <row r="299439" spans="8:8" x14ac:dyDescent="0.25">
      <c r="H299439" s="7"/>
    </row>
    <row r="299782" spans="8:8" x14ac:dyDescent="0.25">
      <c r="H299782" s="7"/>
    </row>
    <row r="300125" spans="8:8" x14ac:dyDescent="0.25">
      <c r="H300125" s="7"/>
    </row>
    <row r="300468" spans="8:8" x14ac:dyDescent="0.25">
      <c r="H300468" s="7"/>
    </row>
    <row r="300811" spans="8:8" x14ac:dyDescent="0.25">
      <c r="H300811" s="7"/>
    </row>
    <row r="301154" spans="8:8" x14ac:dyDescent="0.25">
      <c r="H301154" s="7"/>
    </row>
    <row r="301497" spans="8:8" x14ac:dyDescent="0.25">
      <c r="H301497" s="7"/>
    </row>
    <row r="301840" spans="8:8" x14ac:dyDescent="0.25">
      <c r="H301840" s="7"/>
    </row>
    <row r="302183" spans="8:8" x14ac:dyDescent="0.25">
      <c r="H302183" s="7"/>
    </row>
    <row r="302526" spans="8:8" x14ac:dyDescent="0.25">
      <c r="H302526" s="7"/>
    </row>
    <row r="302869" spans="8:8" x14ac:dyDescent="0.25">
      <c r="H302869" s="7"/>
    </row>
    <row r="303212" spans="8:8" x14ac:dyDescent="0.25">
      <c r="H303212" s="7"/>
    </row>
    <row r="303555" spans="8:8" x14ac:dyDescent="0.25">
      <c r="H303555" s="7"/>
    </row>
    <row r="303898" spans="8:8" x14ac:dyDescent="0.25">
      <c r="H303898" s="7"/>
    </row>
    <row r="304241" spans="8:8" x14ac:dyDescent="0.25">
      <c r="H304241" s="7"/>
    </row>
    <row r="304584" spans="8:8" x14ac:dyDescent="0.25">
      <c r="H304584" s="7"/>
    </row>
    <row r="304927" spans="8:8" x14ac:dyDescent="0.25">
      <c r="H304927" s="7"/>
    </row>
    <row r="305270" spans="8:8" x14ac:dyDescent="0.25">
      <c r="H305270" s="7"/>
    </row>
    <row r="305613" spans="8:8" x14ac:dyDescent="0.25">
      <c r="H305613" s="7"/>
    </row>
    <row r="305956" spans="8:8" x14ac:dyDescent="0.25">
      <c r="H305956" s="7"/>
    </row>
    <row r="306299" spans="8:8" x14ac:dyDescent="0.25">
      <c r="H306299" s="7"/>
    </row>
    <row r="306642" spans="8:8" x14ac:dyDescent="0.25">
      <c r="H306642" s="7"/>
    </row>
    <row r="306985" spans="8:8" x14ac:dyDescent="0.25">
      <c r="H306985" s="7"/>
    </row>
    <row r="307328" spans="8:8" x14ac:dyDescent="0.25">
      <c r="H307328" s="7"/>
    </row>
    <row r="307671" spans="8:8" x14ac:dyDescent="0.25">
      <c r="H307671" s="7"/>
    </row>
    <row r="308014" spans="8:8" x14ac:dyDescent="0.25">
      <c r="H308014" s="7"/>
    </row>
    <row r="308357" spans="8:8" x14ac:dyDescent="0.25">
      <c r="H308357" s="7"/>
    </row>
    <row r="308700" spans="8:8" x14ac:dyDescent="0.25">
      <c r="H308700" s="7"/>
    </row>
    <row r="309043" spans="8:8" x14ac:dyDescent="0.25">
      <c r="H309043" s="7"/>
    </row>
    <row r="309386" spans="8:8" x14ac:dyDescent="0.25">
      <c r="H309386" s="7"/>
    </row>
    <row r="309729" spans="8:8" x14ac:dyDescent="0.25">
      <c r="H309729" s="7"/>
    </row>
    <row r="310072" spans="8:8" x14ac:dyDescent="0.25">
      <c r="H310072" s="7"/>
    </row>
    <row r="310415" spans="8:8" x14ac:dyDescent="0.25">
      <c r="H310415" s="7"/>
    </row>
    <row r="310758" spans="8:8" x14ac:dyDescent="0.25">
      <c r="H310758" s="7"/>
    </row>
    <row r="311101" spans="8:8" x14ac:dyDescent="0.25">
      <c r="H311101" s="7"/>
    </row>
    <row r="311444" spans="8:8" x14ac:dyDescent="0.25">
      <c r="H311444" s="7"/>
    </row>
    <row r="311787" spans="8:8" x14ac:dyDescent="0.25">
      <c r="H311787" s="7"/>
    </row>
    <row r="312130" spans="8:8" x14ac:dyDescent="0.25">
      <c r="H312130" s="7"/>
    </row>
    <row r="312473" spans="8:8" x14ac:dyDescent="0.25">
      <c r="H312473" s="7"/>
    </row>
    <row r="312816" spans="8:8" x14ac:dyDescent="0.25">
      <c r="H312816" s="7"/>
    </row>
    <row r="313159" spans="8:8" x14ac:dyDescent="0.25">
      <c r="H313159" s="7"/>
    </row>
    <row r="313502" spans="8:8" x14ac:dyDescent="0.25">
      <c r="H313502" s="7"/>
    </row>
    <row r="313845" spans="8:8" x14ac:dyDescent="0.25">
      <c r="H313845" s="7"/>
    </row>
    <row r="314188" spans="8:8" x14ac:dyDescent="0.25">
      <c r="H314188" s="7"/>
    </row>
    <row r="314531" spans="8:8" x14ac:dyDescent="0.25">
      <c r="H314531" s="7"/>
    </row>
    <row r="314874" spans="8:8" x14ac:dyDescent="0.25">
      <c r="H314874" s="7"/>
    </row>
    <row r="315217" spans="8:8" x14ac:dyDescent="0.25">
      <c r="H315217" s="7"/>
    </row>
    <row r="315560" spans="8:8" x14ac:dyDescent="0.25">
      <c r="H315560" s="7"/>
    </row>
    <row r="315903" spans="8:8" x14ac:dyDescent="0.25">
      <c r="H315903" s="7"/>
    </row>
    <row r="316246" spans="8:8" x14ac:dyDescent="0.25">
      <c r="H316246" s="7"/>
    </row>
    <row r="316589" spans="8:8" x14ac:dyDescent="0.25">
      <c r="H316589" s="7"/>
    </row>
    <row r="316932" spans="8:8" x14ac:dyDescent="0.25">
      <c r="H316932" s="7"/>
    </row>
    <row r="317275" spans="8:8" x14ac:dyDescent="0.25">
      <c r="H317275" s="7"/>
    </row>
    <row r="317618" spans="8:8" x14ac:dyDescent="0.25">
      <c r="H317618" s="7"/>
    </row>
    <row r="317961" spans="8:8" x14ac:dyDescent="0.25">
      <c r="H317961" s="7"/>
    </row>
    <row r="318304" spans="8:8" x14ac:dyDescent="0.25">
      <c r="H318304" s="7"/>
    </row>
    <row r="318647" spans="8:8" x14ac:dyDescent="0.25">
      <c r="H318647" s="7"/>
    </row>
    <row r="318990" spans="8:8" x14ac:dyDescent="0.25">
      <c r="H318990" s="7"/>
    </row>
    <row r="319333" spans="8:8" x14ac:dyDescent="0.25">
      <c r="H319333" s="7"/>
    </row>
    <row r="319676" spans="8:8" x14ac:dyDescent="0.25">
      <c r="H319676" s="7"/>
    </row>
    <row r="320019" spans="8:8" x14ac:dyDescent="0.25">
      <c r="H320019" s="7"/>
    </row>
    <row r="320362" spans="8:8" x14ac:dyDescent="0.25">
      <c r="H320362" s="7"/>
    </row>
    <row r="320705" spans="8:8" x14ac:dyDescent="0.25">
      <c r="H320705" s="7"/>
    </row>
    <row r="321048" spans="8:8" x14ac:dyDescent="0.25">
      <c r="H321048" s="7"/>
    </row>
    <row r="321391" spans="8:8" x14ac:dyDescent="0.25">
      <c r="H321391" s="7"/>
    </row>
    <row r="321734" spans="8:8" x14ac:dyDescent="0.25">
      <c r="H321734" s="7"/>
    </row>
    <row r="322077" spans="8:8" x14ac:dyDescent="0.25">
      <c r="H322077" s="7"/>
    </row>
    <row r="322420" spans="8:8" x14ac:dyDescent="0.25">
      <c r="H322420" s="7"/>
    </row>
    <row r="322763" spans="8:8" x14ac:dyDescent="0.25">
      <c r="H322763" s="7"/>
    </row>
    <row r="323106" spans="8:8" x14ac:dyDescent="0.25">
      <c r="H323106" s="7"/>
    </row>
    <row r="323449" spans="8:8" x14ac:dyDescent="0.25">
      <c r="H323449" s="7"/>
    </row>
    <row r="323792" spans="8:8" x14ac:dyDescent="0.25">
      <c r="H323792" s="7"/>
    </row>
    <row r="324135" spans="8:8" x14ac:dyDescent="0.25">
      <c r="H324135" s="7"/>
    </row>
    <row r="324478" spans="8:8" x14ac:dyDescent="0.25">
      <c r="H324478" s="7"/>
    </row>
    <row r="324821" spans="8:8" x14ac:dyDescent="0.25">
      <c r="H324821" s="7"/>
    </row>
    <row r="325164" spans="8:8" x14ac:dyDescent="0.25">
      <c r="H325164" s="7"/>
    </row>
    <row r="325507" spans="8:8" x14ac:dyDescent="0.25">
      <c r="H325507" s="7"/>
    </row>
    <row r="325850" spans="8:8" x14ac:dyDescent="0.25">
      <c r="H325850" s="7"/>
    </row>
    <row r="326193" spans="8:8" x14ac:dyDescent="0.25">
      <c r="H326193" s="7"/>
    </row>
    <row r="326536" spans="8:8" x14ac:dyDescent="0.25">
      <c r="H326536" s="7"/>
    </row>
    <row r="326879" spans="8:8" x14ac:dyDescent="0.25">
      <c r="H326879" s="7"/>
    </row>
    <row r="327222" spans="8:8" x14ac:dyDescent="0.25">
      <c r="H327222" s="7"/>
    </row>
    <row r="327565" spans="8:8" x14ac:dyDescent="0.25">
      <c r="H327565" s="7"/>
    </row>
    <row r="327908" spans="8:8" x14ac:dyDescent="0.25">
      <c r="H327908" s="7"/>
    </row>
    <row r="328251" spans="8:8" x14ac:dyDescent="0.25">
      <c r="H328251" s="7"/>
    </row>
    <row r="328594" spans="8:8" x14ac:dyDescent="0.25">
      <c r="H328594" s="7"/>
    </row>
    <row r="328937" spans="8:8" x14ac:dyDescent="0.25">
      <c r="H328937" s="7"/>
    </row>
    <row r="329280" spans="8:8" x14ac:dyDescent="0.25">
      <c r="H329280" s="7"/>
    </row>
    <row r="329623" spans="8:8" x14ac:dyDescent="0.25">
      <c r="H329623" s="7"/>
    </row>
    <row r="329966" spans="8:8" x14ac:dyDescent="0.25">
      <c r="H329966" s="7"/>
    </row>
    <row r="330309" spans="8:8" x14ac:dyDescent="0.25">
      <c r="H330309" s="7"/>
    </row>
    <row r="330652" spans="8:8" x14ac:dyDescent="0.25">
      <c r="H330652" s="7"/>
    </row>
    <row r="330995" spans="8:8" x14ac:dyDescent="0.25">
      <c r="H330995" s="7"/>
    </row>
    <row r="331338" spans="8:8" x14ac:dyDescent="0.25">
      <c r="H331338" s="7"/>
    </row>
    <row r="331681" spans="8:8" x14ac:dyDescent="0.25">
      <c r="H331681" s="7"/>
    </row>
    <row r="332024" spans="8:8" x14ac:dyDescent="0.25">
      <c r="H332024" s="7"/>
    </row>
    <row r="332367" spans="8:8" x14ac:dyDescent="0.25">
      <c r="H332367" s="7"/>
    </row>
    <row r="332710" spans="8:8" x14ac:dyDescent="0.25">
      <c r="H332710" s="7"/>
    </row>
    <row r="333053" spans="8:8" x14ac:dyDescent="0.25">
      <c r="H333053" s="7"/>
    </row>
    <row r="333396" spans="8:8" x14ac:dyDescent="0.25">
      <c r="H333396" s="7"/>
    </row>
    <row r="333739" spans="8:8" x14ac:dyDescent="0.25">
      <c r="H333739" s="7"/>
    </row>
    <row r="334082" spans="8:8" x14ac:dyDescent="0.25">
      <c r="H334082" s="7"/>
    </row>
    <row r="334425" spans="8:8" x14ac:dyDescent="0.25">
      <c r="H334425" s="7"/>
    </row>
    <row r="334768" spans="8:8" x14ac:dyDescent="0.25">
      <c r="H334768" s="7"/>
    </row>
    <row r="335111" spans="8:8" x14ac:dyDescent="0.25">
      <c r="H335111" s="7"/>
    </row>
    <row r="335454" spans="8:8" x14ac:dyDescent="0.25">
      <c r="H335454" s="7"/>
    </row>
    <row r="335797" spans="8:8" x14ac:dyDescent="0.25">
      <c r="H335797" s="7"/>
    </row>
    <row r="336140" spans="8:8" x14ac:dyDescent="0.25">
      <c r="H336140" s="7"/>
    </row>
    <row r="336483" spans="8:8" x14ac:dyDescent="0.25">
      <c r="H336483" s="7"/>
    </row>
    <row r="336826" spans="8:8" x14ac:dyDescent="0.25">
      <c r="H336826" s="7"/>
    </row>
    <row r="337169" spans="8:8" x14ac:dyDescent="0.25">
      <c r="H337169" s="7"/>
    </row>
    <row r="337512" spans="8:8" x14ac:dyDescent="0.25">
      <c r="H337512" s="7"/>
    </row>
    <row r="337855" spans="8:8" x14ac:dyDescent="0.25">
      <c r="H337855" s="7"/>
    </row>
    <row r="338198" spans="8:8" x14ac:dyDescent="0.25">
      <c r="H338198" s="7"/>
    </row>
    <row r="338541" spans="8:8" x14ac:dyDescent="0.25">
      <c r="H338541" s="7"/>
    </row>
    <row r="338884" spans="8:8" x14ac:dyDescent="0.25">
      <c r="H338884" s="7"/>
    </row>
    <row r="339227" spans="8:8" x14ac:dyDescent="0.25">
      <c r="H339227" s="7"/>
    </row>
    <row r="339570" spans="8:8" x14ac:dyDescent="0.25">
      <c r="H339570" s="7"/>
    </row>
    <row r="339913" spans="8:8" x14ac:dyDescent="0.25">
      <c r="H339913" s="7"/>
    </row>
    <row r="340256" spans="8:8" x14ac:dyDescent="0.25">
      <c r="H340256" s="7"/>
    </row>
    <row r="340599" spans="8:8" x14ac:dyDescent="0.25">
      <c r="H340599" s="7"/>
    </row>
    <row r="340942" spans="8:8" x14ac:dyDescent="0.25">
      <c r="H340942" s="7"/>
    </row>
    <row r="341285" spans="8:8" x14ac:dyDescent="0.25">
      <c r="H341285" s="7"/>
    </row>
    <row r="341628" spans="8:8" x14ac:dyDescent="0.25">
      <c r="H341628" s="7"/>
    </row>
    <row r="341971" spans="8:8" x14ac:dyDescent="0.25">
      <c r="H341971" s="7"/>
    </row>
    <row r="342314" spans="8:8" x14ac:dyDescent="0.25">
      <c r="H342314" s="7"/>
    </row>
    <row r="342657" spans="8:8" x14ac:dyDescent="0.25">
      <c r="H342657" s="7"/>
    </row>
    <row r="343000" spans="8:8" x14ac:dyDescent="0.25">
      <c r="H343000" s="7"/>
    </row>
    <row r="343343" spans="8:8" x14ac:dyDescent="0.25">
      <c r="H343343" s="7"/>
    </row>
    <row r="343686" spans="8:8" x14ac:dyDescent="0.25">
      <c r="H343686" s="7"/>
    </row>
    <row r="344029" spans="8:8" x14ac:dyDescent="0.25">
      <c r="H344029" s="7"/>
    </row>
    <row r="344372" spans="8:8" x14ac:dyDescent="0.25">
      <c r="H344372" s="7"/>
    </row>
    <row r="344715" spans="8:8" x14ac:dyDescent="0.25">
      <c r="H344715" s="7"/>
    </row>
    <row r="345058" spans="8:8" x14ac:dyDescent="0.25">
      <c r="H345058" s="7"/>
    </row>
    <row r="345401" spans="8:8" x14ac:dyDescent="0.25">
      <c r="H345401" s="7"/>
    </row>
    <row r="345744" spans="8:8" x14ac:dyDescent="0.25">
      <c r="H345744" s="7"/>
    </row>
    <row r="346087" spans="8:8" x14ac:dyDescent="0.25">
      <c r="H346087" s="7"/>
    </row>
    <row r="346430" spans="8:8" x14ac:dyDescent="0.25">
      <c r="H346430" s="7"/>
    </row>
    <row r="346773" spans="8:8" x14ac:dyDescent="0.25">
      <c r="H346773" s="7"/>
    </row>
    <row r="347116" spans="8:8" x14ac:dyDescent="0.25">
      <c r="H347116" s="7"/>
    </row>
    <row r="347459" spans="8:8" x14ac:dyDescent="0.25">
      <c r="H347459" s="7"/>
    </row>
    <row r="347802" spans="8:8" x14ac:dyDescent="0.25">
      <c r="H347802" s="7"/>
    </row>
    <row r="348145" spans="8:8" x14ac:dyDescent="0.25">
      <c r="H348145" s="7"/>
    </row>
    <row r="348488" spans="8:8" x14ac:dyDescent="0.25">
      <c r="H348488" s="7"/>
    </row>
    <row r="348831" spans="8:8" x14ac:dyDescent="0.25">
      <c r="H348831" s="7"/>
    </row>
    <row r="349174" spans="8:8" x14ac:dyDescent="0.25">
      <c r="H349174" s="7"/>
    </row>
    <row r="349517" spans="8:8" x14ac:dyDescent="0.25">
      <c r="H349517" s="7"/>
    </row>
    <row r="349860" spans="8:8" x14ac:dyDescent="0.25">
      <c r="H349860" s="7"/>
    </row>
    <row r="350203" spans="8:8" x14ac:dyDescent="0.25">
      <c r="H350203" s="7"/>
    </row>
    <row r="350546" spans="8:8" x14ac:dyDescent="0.25">
      <c r="H350546" s="7"/>
    </row>
    <row r="350889" spans="8:8" x14ac:dyDescent="0.25">
      <c r="H350889" s="7"/>
    </row>
    <row r="351232" spans="8:8" x14ac:dyDescent="0.25">
      <c r="H351232" s="7"/>
    </row>
    <row r="351575" spans="8:8" x14ac:dyDescent="0.25">
      <c r="H351575" s="7"/>
    </row>
    <row r="351918" spans="8:8" x14ac:dyDescent="0.25">
      <c r="H351918" s="7"/>
    </row>
    <row r="352261" spans="8:8" x14ac:dyDescent="0.25">
      <c r="H352261" s="7"/>
    </row>
    <row r="352604" spans="8:8" x14ac:dyDescent="0.25">
      <c r="H352604" s="7"/>
    </row>
    <row r="352947" spans="8:8" x14ac:dyDescent="0.25">
      <c r="H352947" s="7"/>
    </row>
    <row r="353290" spans="8:8" x14ac:dyDescent="0.25">
      <c r="H353290" s="7"/>
    </row>
    <row r="353633" spans="8:8" x14ac:dyDescent="0.25">
      <c r="H353633" s="7"/>
    </row>
    <row r="353976" spans="8:8" x14ac:dyDescent="0.25">
      <c r="H353976" s="7"/>
    </row>
    <row r="354319" spans="8:8" x14ac:dyDescent="0.25">
      <c r="H354319" s="7"/>
    </row>
    <row r="354662" spans="8:8" x14ac:dyDescent="0.25">
      <c r="H354662" s="7"/>
    </row>
    <row r="355005" spans="8:8" x14ac:dyDescent="0.25">
      <c r="H355005" s="7"/>
    </row>
    <row r="355348" spans="8:8" x14ac:dyDescent="0.25">
      <c r="H355348" s="7"/>
    </row>
    <row r="355691" spans="8:8" x14ac:dyDescent="0.25">
      <c r="H355691" s="7"/>
    </row>
    <row r="356034" spans="8:8" x14ac:dyDescent="0.25">
      <c r="H356034" s="7"/>
    </row>
    <row r="356377" spans="8:8" x14ac:dyDescent="0.25">
      <c r="H356377" s="7"/>
    </row>
    <row r="356720" spans="8:8" x14ac:dyDescent="0.25">
      <c r="H356720" s="7"/>
    </row>
    <row r="357063" spans="8:8" x14ac:dyDescent="0.25">
      <c r="H357063" s="7"/>
    </row>
    <row r="357406" spans="8:8" x14ac:dyDescent="0.25">
      <c r="H357406" s="7"/>
    </row>
    <row r="357749" spans="8:8" x14ac:dyDescent="0.25">
      <c r="H357749" s="7"/>
    </row>
    <row r="358092" spans="8:8" x14ac:dyDescent="0.25">
      <c r="H358092" s="7"/>
    </row>
    <row r="358435" spans="8:8" x14ac:dyDescent="0.25">
      <c r="H358435" s="7"/>
    </row>
    <row r="358778" spans="8:8" x14ac:dyDescent="0.25">
      <c r="H358778" s="7"/>
    </row>
    <row r="359121" spans="8:8" x14ac:dyDescent="0.25">
      <c r="H359121" s="7"/>
    </row>
    <row r="359464" spans="8:8" x14ac:dyDescent="0.25">
      <c r="H359464" s="7"/>
    </row>
    <row r="359807" spans="8:8" x14ac:dyDescent="0.25">
      <c r="H359807" s="7"/>
    </row>
    <row r="360150" spans="8:8" x14ac:dyDescent="0.25">
      <c r="H360150" s="7"/>
    </row>
    <row r="360493" spans="8:8" x14ac:dyDescent="0.25">
      <c r="H360493" s="7"/>
    </row>
    <row r="360836" spans="8:8" x14ac:dyDescent="0.25">
      <c r="H360836" s="7"/>
    </row>
    <row r="361179" spans="8:8" x14ac:dyDescent="0.25">
      <c r="H361179" s="7"/>
    </row>
    <row r="361522" spans="8:8" x14ac:dyDescent="0.25">
      <c r="H361522" s="7"/>
    </row>
    <row r="361865" spans="8:8" x14ac:dyDescent="0.25">
      <c r="H361865" s="7"/>
    </row>
    <row r="362208" spans="8:8" x14ac:dyDescent="0.25">
      <c r="H362208" s="7"/>
    </row>
    <row r="362551" spans="8:8" x14ac:dyDescent="0.25">
      <c r="H362551" s="7"/>
    </row>
    <row r="362894" spans="8:8" x14ac:dyDescent="0.25">
      <c r="H362894" s="7"/>
    </row>
    <row r="363237" spans="8:8" x14ac:dyDescent="0.25">
      <c r="H363237" s="7"/>
    </row>
    <row r="363580" spans="8:8" x14ac:dyDescent="0.25">
      <c r="H363580" s="7"/>
    </row>
    <row r="363923" spans="8:8" x14ac:dyDescent="0.25">
      <c r="H363923" s="7"/>
    </row>
    <row r="364266" spans="8:8" x14ac:dyDescent="0.25">
      <c r="H364266" s="7"/>
    </row>
    <row r="364609" spans="8:8" x14ac:dyDescent="0.25">
      <c r="H364609" s="7"/>
    </row>
    <row r="364952" spans="8:8" x14ac:dyDescent="0.25">
      <c r="H364952" s="7"/>
    </row>
    <row r="365295" spans="8:8" x14ac:dyDescent="0.25">
      <c r="H365295" s="7"/>
    </row>
    <row r="365638" spans="8:8" x14ac:dyDescent="0.25">
      <c r="H365638" s="7"/>
    </row>
    <row r="365981" spans="8:8" x14ac:dyDescent="0.25">
      <c r="H365981" s="7"/>
    </row>
    <row r="366324" spans="8:8" x14ac:dyDescent="0.25">
      <c r="H366324" s="7"/>
    </row>
    <row r="366667" spans="8:8" x14ac:dyDescent="0.25">
      <c r="H366667" s="7"/>
    </row>
    <row r="367010" spans="8:8" x14ac:dyDescent="0.25">
      <c r="H367010" s="7"/>
    </row>
    <row r="367353" spans="8:8" x14ac:dyDescent="0.25">
      <c r="H367353" s="7"/>
    </row>
    <row r="367696" spans="8:8" x14ac:dyDescent="0.25">
      <c r="H367696" s="7"/>
    </row>
    <row r="368039" spans="8:8" x14ac:dyDescent="0.25">
      <c r="H368039" s="7"/>
    </row>
    <row r="368382" spans="8:8" x14ac:dyDescent="0.25">
      <c r="H368382" s="7"/>
    </row>
    <row r="368725" spans="8:8" x14ac:dyDescent="0.25">
      <c r="H368725" s="7"/>
    </row>
    <row r="369068" spans="8:8" x14ac:dyDescent="0.25">
      <c r="H369068" s="7"/>
    </row>
    <row r="369411" spans="8:8" x14ac:dyDescent="0.25">
      <c r="H369411" s="7"/>
    </row>
    <row r="369754" spans="8:8" x14ac:dyDescent="0.25">
      <c r="H369754" s="7"/>
    </row>
    <row r="370097" spans="8:8" x14ac:dyDescent="0.25">
      <c r="H370097" s="7"/>
    </row>
    <row r="370440" spans="8:8" x14ac:dyDescent="0.25">
      <c r="H370440" s="7"/>
    </row>
    <row r="370783" spans="8:8" x14ac:dyDescent="0.25">
      <c r="H370783" s="7"/>
    </row>
    <row r="371126" spans="8:8" x14ac:dyDescent="0.25">
      <c r="H371126" s="7"/>
    </row>
    <row r="371469" spans="8:8" x14ac:dyDescent="0.25">
      <c r="H371469" s="7"/>
    </row>
    <row r="371812" spans="8:8" x14ac:dyDescent="0.25">
      <c r="H371812" s="7"/>
    </row>
    <row r="372155" spans="8:8" x14ac:dyDescent="0.25">
      <c r="H372155" s="7"/>
    </row>
    <row r="372498" spans="8:8" x14ac:dyDescent="0.25">
      <c r="H372498" s="7"/>
    </row>
    <row r="372841" spans="8:8" x14ac:dyDescent="0.25">
      <c r="H372841" s="7"/>
    </row>
    <row r="373184" spans="8:8" x14ac:dyDescent="0.25">
      <c r="H373184" s="7"/>
    </row>
    <row r="373527" spans="8:8" x14ac:dyDescent="0.25">
      <c r="H373527" s="7"/>
    </row>
    <row r="373870" spans="8:8" x14ac:dyDescent="0.25">
      <c r="H373870" s="7"/>
    </row>
    <row r="374213" spans="8:8" x14ac:dyDescent="0.25">
      <c r="H374213" s="7"/>
    </row>
    <row r="374556" spans="8:8" x14ac:dyDescent="0.25">
      <c r="H374556" s="7"/>
    </row>
    <row r="374899" spans="8:8" x14ac:dyDescent="0.25">
      <c r="H374899" s="7"/>
    </row>
    <row r="375242" spans="8:8" x14ac:dyDescent="0.25">
      <c r="H375242" s="7"/>
    </row>
    <row r="375585" spans="8:8" x14ac:dyDescent="0.25">
      <c r="H375585" s="7"/>
    </row>
    <row r="375928" spans="8:8" x14ac:dyDescent="0.25">
      <c r="H375928" s="7"/>
    </row>
    <row r="376271" spans="8:8" x14ac:dyDescent="0.25">
      <c r="H376271" s="7"/>
    </row>
    <row r="376614" spans="8:8" x14ac:dyDescent="0.25">
      <c r="H376614" s="7"/>
    </row>
    <row r="376957" spans="8:8" x14ac:dyDescent="0.25">
      <c r="H376957" s="7"/>
    </row>
    <row r="377300" spans="8:8" x14ac:dyDescent="0.25">
      <c r="H377300" s="7"/>
    </row>
    <row r="377643" spans="8:8" x14ac:dyDescent="0.25">
      <c r="H377643" s="7"/>
    </row>
    <row r="377986" spans="8:8" x14ac:dyDescent="0.25">
      <c r="H377986" s="7"/>
    </row>
    <row r="378329" spans="8:8" x14ac:dyDescent="0.25">
      <c r="H378329" s="7"/>
    </row>
    <row r="378672" spans="8:8" x14ac:dyDescent="0.25">
      <c r="H378672" s="7"/>
    </row>
    <row r="379015" spans="8:8" x14ac:dyDescent="0.25">
      <c r="H379015" s="7"/>
    </row>
    <row r="379358" spans="8:8" x14ac:dyDescent="0.25">
      <c r="H379358" s="7"/>
    </row>
    <row r="379701" spans="8:8" x14ac:dyDescent="0.25">
      <c r="H379701" s="7"/>
    </row>
    <row r="380044" spans="8:8" x14ac:dyDescent="0.25">
      <c r="H380044" s="7"/>
    </row>
    <row r="380387" spans="8:8" x14ac:dyDescent="0.25">
      <c r="H380387" s="7"/>
    </row>
    <row r="380730" spans="8:8" x14ac:dyDescent="0.25">
      <c r="H380730" s="7"/>
    </row>
    <row r="381073" spans="8:8" x14ac:dyDescent="0.25">
      <c r="H381073" s="7"/>
    </row>
    <row r="381416" spans="8:8" x14ac:dyDescent="0.25">
      <c r="H381416" s="7"/>
    </row>
    <row r="381759" spans="8:8" x14ac:dyDescent="0.25">
      <c r="H381759" s="7"/>
    </row>
    <row r="382102" spans="8:8" x14ac:dyDescent="0.25">
      <c r="H382102" s="7"/>
    </row>
    <row r="382445" spans="8:8" x14ac:dyDescent="0.25">
      <c r="H382445" s="7"/>
    </row>
    <row r="382788" spans="8:8" x14ac:dyDescent="0.25">
      <c r="H382788" s="7"/>
    </row>
    <row r="383131" spans="8:8" x14ac:dyDescent="0.25">
      <c r="H383131" s="7"/>
    </row>
    <row r="383474" spans="8:8" x14ac:dyDescent="0.25">
      <c r="H383474" s="7"/>
    </row>
    <row r="383817" spans="8:8" x14ac:dyDescent="0.25">
      <c r="H383817" s="7"/>
    </row>
    <row r="384160" spans="8:8" x14ac:dyDescent="0.25">
      <c r="H384160" s="7"/>
    </row>
    <row r="384503" spans="8:8" x14ac:dyDescent="0.25">
      <c r="H384503" s="7"/>
    </row>
    <row r="384846" spans="8:8" x14ac:dyDescent="0.25">
      <c r="H384846" s="7"/>
    </row>
    <row r="385189" spans="8:8" x14ac:dyDescent="0.25">
      <c r="H385189" s="7"/>
    </row>
    <row r="385532" spans="8:8" x14ac:dyDescent="0.25">
      <c r="H385532" s="7"/>
    </row>
    <row r="385875" spans="8:8" x14ac:dyDescent="0.25">
      <c r="H385875" s="7"/>
    </row>
    <row r="386218" spans="8:8" x14ac:dyDescent="0.25">
      <c r="H386218" s="7"/>
    </row>
    <row r="386561" spans="8:8" x14ac:dyDescent="0.25">
      <c r="H386561" s="7"/>
    </row>
    <row r="386904" spans="8:8" x14ac:dyDescent="0.25">
      <c r="H386904" s="7"/>
    </row>
    <row r="387247" spans="8:8" x14ac:dyDescent="0.25">
      <c r="H387247" s="7"/>
    </row>
    <row r="387590" spans="8:8" x14ac:dyDescent="0.25">
      <c r="H387590" s="7"/>
    </row>
    <row r="387933" spans="8:8" x14ac:dyDescent="0.25">
      <c r="H387933" s="7"/>
    </row>
    <row r="388276" spans="8:8" x14ac:dyDescent="0.25">
      <c r="H388276" s="7"/>
    </row>
    <row r="388619" spans="8:8" x14ac:dyDescent="0.25">
      <c r="H388619" s="7"/>
    </row>
    <row r="388962" spans="8:8" x14ac:dyDescent="0.25">
      <c r="H388962" s="7"/>
    </row>
    <row r="389305" spans="8:8" x14ac:dyDescent="0.25">
      <c r="H389305" s="7"/>
    </row>
    <row r="389648" spans="8:8" x14ac:dyDescent="0.25">
      <c r="H389648" s="7"/>
    </row>
    <row r="389991" spans="8:8" x14ac:dyDescent="0.25">
      <c r="H389991" s="7"/>
    </row>
    <row r="390334" spans="8:8" x14ac:dyDescent="0.25">
      <c r="H390334" s="7"/>
    </row>
    <row r="390677" spans="8:8" x14ac:dyDescent="0.25">
      <c r="H390677" s="7"/>
    </row>
    <row r="391020" spans="8:8" x14ac:dyDescent="0.25">
      <c r="H391020" s="7"/>
    </row>
    <row r="391363" spans="8:8" x14ac:dyDescent="0.25">
      <c r="H391363" s="7"/>
    </row>
    <row r="391706" spans="8:8" x14ac:dyDescent="0.25">
      <c r="H391706" s="7"/>
    </row>
    <row r="392049" spans="8:8" x14ac:dyDescent="0.25">
      <c r="H392049" s="7"/>
    </row>
    <row r="392392" spans="8:8" x14ac:dyDescent="0.25">
      <c r="H392392" s="7"/>
    </row>
    <row r="392735" spans="8:8" x14ac:dyDescent="0.25">
      <c r="H392735" s="7"/>
    </row>
    <row r="393078" spans="8:8" x14ac:dyDescent="0.25">
      <c r="H393078" s="7"/>
    </row>
    <row r="393421" spans="8:8" x14ac:dyDescent="0.25">
      <c r="H393421" s="7"/>
    </row>
    <row r="393764" spans="8:8" x14ac:dyDescent="0.25">
      <c r="H393764" s="7"/>
    </row>
    <row r="394107" spans="8:8" x14ac:dyDescent="0.25">
      <c r="H394107" s="7"/>
    </row>
    <row r="394450" spans="8:8" x14ac:dyDescent="0.25">
      <c r="H394450" s="7"/>
    </row>
    <row r="394793" spans="8:8" x14ac:dyDescent="0.25">
      <c r="H394793" s="7"/>
    </row>
    <row r="395136" spans="8:8" x14ac:dyDescent="0.25">
      <c r="H395136" s="7"/>
    </row>
    <row r="395479" spans="8:8" x14ac:dyDescent="0.25">
      <c r="H395479" s="7"/>
    </row>
    <row r="395822" spans="8:8" x14ac:dyDescent="0.25">
      <c r="H395822" s="7"/>
    </row>
    <row r="396165" spans="8:8" x14ac:dyDescent="0.25">
      <c r="H396165" s="7"/>
    </row>
    <row r="396508" spans="8:8" x14ac:dyDescent="0.25">
      <c r="H396508" s="7"/>
    </row>
    <row r="396851" spans="8:8" x14ac:dyDescent="0.25">
      <c r="H396851" s="7"/>
    </row>
    <row r="397194" spans="8:8" x14ac:dyDescent="0.25">
      <c r="H397194" s="7"/>
    </row>
    <row r="397537" spans="8:8" x14ac:dyDescent="0.25">
      <c r="H397537" s="7"/>
    </row>
    <row r="397880" spans="8:8" x14ac:dyDescent="0.25">
      <c r="H397880" s="7"/>
    </row>
    <row r="398223" spans="8:8" x14ac:dyDescent="0.25">
      <c r="H398223" s="7"/>
    </row>
    <row r="398566" spans="8:8" x14ac:dyDescent="0.25">
      <c r="H398566" s="7"/>
    </row>
    <row r="398909" spans="8:8" x14ac:dyDescent="0.25">
      <c r="H398909" s="7"/>
    </row>
    <row r="399252" spans="8:8" x14ac:dyDescent="0.25">
      <c r="H399252" s="7"/>
    </row>
    <row r="399595" spans="8:8" x14ac:dyDescent="0.25">
      <c r="H399595" s="7"/>
    </row>
    <row r="399938" spans="8:8" x14ac:dyDescent="0.25">
      <c r="H399938" s="7"/>
    </row>
    <row r="400281" spans="8:8" x14ac:dyDescent="0.25">
      <c r="H400281" s="7"/>
    </row>
    <row r="400624" spans="8:8" x14ac:dyDescent="0.25">
      <c r="H400624" s="7"/>
    </row>
    <row r="400967" spans="8:8" x14ac:dyDescent="0.25">
      <c r="H400967" s="7"/>
    </row>
    <row r="401310" spans="8:8" x14ac:dyDescent="0.25">
      <c r="H401310" s="7"/>
    </row>
    <row r="401653" spans="8:8" x14ac:dyDescent="0.25">
      <c r="H401653" s="7"/>
    </row>
    <row r="401996" spans="8:8" x14ac:dyDescent="0.25">
      <c r="H401996" s="7"/>
    </row>
    <row r="402339" spans="8:8" x14ac:dyDescent="0.25">
      <c r="H402339" s="7"/>
    </row>
    <row r="402682" spans="8:8" x14ac:dyDescent="0.25">
      <c r="H402682" s="7"/>
    </row>
    <row r="403025" spans="8:8" x14ac:dyDescent="0.25">
      <c r="H403025" s="7"/>
    </row>
    <row r="403368" spans="8:8" x14ac:dyDescent="0.25">
      <c r="H403368" s="7"/>
    </row>
    <row r="403711" spans="8:8" x14ac:dyDescent="0.25">
      <c r="H403711" s="7"/>
    </row>
    <row r="404054" spans="8:8" x14ac:dyDescent="0.25">
      <c r="H404054" s="7"/>
    </row>
    <row r="404397" spans="8:8" x14ac:dyDescent="0.25">
      <c r="H404397" s="7"/>
    </row>
    <row r="404740" spans="8:8" x14ac:dyDescent="0.25">
      <c r="H404740" s="7"/>
    </row>
    <row r="405083" spans="8:8" x14ac:dyDescent="0.25">
      <c r="H405083" s="7"/>
    </row>
    <row r="405426" spans="8:8" x14ac:dyDescent="0.25">
      <c r="H405426" s="7"/>
    </row>
    <row r="405769" spans="8:8" x14ac:dyDescent="0.25">
      <c r="H405769" s="7"/>
    </row>
    <row r="406112" spans="8:8" x14ac:dyDescent="0.25">
      <c r="H406112" s="7"/>
    </row>
    <row r="406455" spans="8:8" x14ac:dyDescent="0.25">
      <c r="H406455" s="7"/>
    </row>
    <row r="406798" spans="8:8" x14ac:dyDescent="0.25">
      <c r="H406798" s="7"/>
    </row>
    <row r="407141" spans="8:8" x14ac:dyDescent="0.25">
      <c r="H407141" s="7"/>
    </row>
    <row r="407484" spans="8:8" x14ac:dyDescent="0.25">
      <c r="H407484" s="7"/>
    </row>
    <row r="407827" spans="8:8" x14ac:dyDescent="0.25">
      <c r="H407827" s="7"/>
    </row>
    <row r="408170" spans="8:8" x14ac:dyDescent="0.25">
      <c r="H408170" s="7"/>
    </row>
    <row r="408513" spans="8:8" x14ac:dyDescent="0.25">
      <c r="H408513" s="7"/>
    </row>
    <row r="408856" spans="8:8" x14ac:dyDescent="0.25">
      <c r="H408856" s="7"/>
    </row>
    <row r="409199" spans="8:8" x14ac:dyDescent="0.25">
      <c r="H409199" s="7"/>
    </row>
    <row r="409542" spans="8:8" x14ac:dyDescent="0.25">
      <c r="H409542" s="7"/>
    </row>
    <row r="409885" spans="8:8" x14ac:dyDescent="0.25">
      <c r="H409885" s="7"/>
    </row>
    <row r="410228" spans="8:8" x14ac:dyDescent="0.25">
      <c r="H410228" s="7"/>
    </row>
    <row r="410571" spans="8:8" x14ac:dyDescent="0.25">
      <c r="H410571" s="7"/>
    </row>
    <row r="410914" spans="8:8" x14ac:dyDescent="0.25">
      <c r="H410914" s="7"/>
    </row>
    <row r="411257" spans="8:8" x14ac:dyDescent="0.25">
      <c r="H411257" s="7"/>
    </row>
    <row r="411600" spans="8:8" x14ac:dyDescent="0.25">
      <c r="H411600" s="7"/>
    </row>
    <row r="411943" spans="8:8" x14ac:dyDescent="0.25">
      <c r="H411943" s="7"/>
    </row>
    <row r="412286" spans="8:8" x14ac:dyDescent="0.25">
      <c r="H412286" s="7"/>
    </row>
    <row r="412629" spans="8:8" x14ac:dyDescent="0.25">
      <c r="H412629" s="7"/>
    </row>
    <row r="412972" spans="8:8" x14ac:dyDescent="0.25">
      <c r="H412972" s="7"/>
    </row>
    <row r="413315" spans="8:8" x14ac:dyDescent="0.25">
      <c r="H413315" s="7"/>
    </row>
    <row r="413658" spans="8:8" x14ac:dyDescent="0.25">
      <c r="H413658" s="7"/>
    </row>
    <row r="414001" spans="8:8" x14ac:dyDescent="0.25">
      <c r="H414001" s="7"/>
    </row>
    <row r="414344" spans="8:8" x14ac:dyDescent="0.25">
      <c r="H414344" s="7"/>
    </row>
    <row r="414687" spans="8:8" x14ac:dyDescent="0.25">
      <c r="H414687" s="7"/>
    </row>
    <row r="415030" spans="8:8" x14ac:dyDescent="0.25">
      <c r="H415030" s="7"/>
    </row>
    <row r="415373" spans="8:8" x14ac:dyDescent="0.25">
      <c r="H415373" s="7"/>
    </row>
    <row r="415716" spans="8:8" x14ac:dyDescent="0.25">
      <c r="H415716" s="7"/>
    </row>
    <row r="416059" spans="8:8" x14ac:dyDescent="0.25">
      <c r="H416059" s="7"/>
    </row>
    <row r="416402" spans="8:8" x14ac:dyDescent="0.25">
      <c r="H416402" s="7"/>
    </row>
    <row r="416745" spans="8:8" x14ac:dyDescent="0.25">
      <c r="H416745" s="7"/>
    </row>
    <row r="417088" spans="8:8" x14ac:dyDescent="0.25">
      <c r="H417088" s="7"/>
    </row>
    <row r="417431" spans="8:8" x14ac:dyDescent="0.25">
      <c r="H417431" s="7"/>
    </row>
    <row r="417774" spans="8:8" x14ac:dyDescent="0.25">
      <c r="H417774" s="7"/>
    </row>
    <row r="418117" spans="8:8" x14ac:dyDescent="0.25">
      <c r="H418117" s="7"/>
    </row>
    <row r="418460" spans="8:8" x14ac:dyDescent="0.25">
      <c r="H418460" s="7"/>
    </row>
    <row r="418803" spans="8:8" x14ac:dyDescent="0.25">
      <c r="H418803" s="7"/>
    </row>
    <row r="419146" spans="8:8" x14ac:dyDescent="0.25">
      <c r="H419146" s="7"/>
    </row>
    <row r="419489" spans="8:8" x14ac:dyDescent="0.25">
      <c r="H419489" s="7"/>
    </row>
    <row r="419832" spans="8:8" x14ac:dyDescent="0.25">
      <c r="H419832" s="7"/>
    </row>
    <row r="420175" spans="8:8" x14ac:dyDescent="0.25">
      <c r="H420175" s="7"/>
    </row>
    <row r="420518" spans="8:8" x14ac:dyDescent="0.25">
      <c r="H420518" s="7"/>
    </row>
    <row r="420861" spans="8:8" x14ac:dyDescent="0.25">
      <c r="H420861" s="7"/>
    </row>
    <row r="421204" spans="8:8" x14ac:dyDescent="0.25">
      <c r="H421204" s="7"/>
    </row>
    <row r="421547" spans="8:8" x14ac:dyDescent="0.25">
      <c r="H421547" s="7"/>
    </row>
    <row r="421890" spans="8:8" x14ac:dyDescent="0.25">
      <c r="H421890" s="7"/>
    </row>
    <row r="422233" spans="8:8" x14ac:dyDescent="0.25">
      <c r="H422233" s="7"/>
    </row>
    <row r="422576" spans="8:8" x14ac:dyDescent="0.25">
      <c r="H422576" s="7"/>
    </row>
    <row r="422919" spans="8:8" x14ac:dyDescent="0.25">
      <c r="H422919" s="7"/>
    </row>
    <row r="423262" spans="8:8" x14ac:dyDescent="0.25">
      <c r="H423262" s="7"/>
    </row>
    <row r="423605" spans="8:8" x14ac:dyDescent="0.25">
      <c r="H423605" s="7"/>
    </row>
    <row r="423948" spans="8:8" x14ac:dyDescent="0.25">
      <c r="H423948" s="7"/>
    </row>
    <row r="424291" spans="8:8" x14ac:dyDescent="0.25">
      <c r="H424291" s="7"/>
    </row>
    <row r="424634" spans="8:8" x14ac:dyDescent="0.25">
      <c r="H424634" s="7"/>
    </row>
    <row r="424977" spans="8:8" x14ac:dyDescent="0.25">
      <c r="H424977" s="7"/>
    </row>
    <row r="425320" spans="8:8" x14ac:dyDescent="0.25">
      <c r="H425320" s="7"/>
    </row>
    <row r="425663" spans="8:8" x14ac:dyDescent="0.25">
      <c r="H425663" s="7"/>
    </row>
    <row r="426006" spans="8:8" x14ac:dyDescent="0.25">
      <c r="H426006" s="7"/>
    </row>
    <row r="426349" spans="8:8" x14ac:dyDescent="0.25">
      <c r="H426349" s="7"/>
    </row>
    <row r="426692" spans="8:8" x14ac:dyDescent="0.25">
      <c r="H426692" s="7"/>
    </row>
    <row r="427035" spans="8:8" x14ac:dyDescent="0.25">
      <c r="H427035" s="7"/>
    </row>
    <row r="427378" spans="8:8" x14ac:dyDescent="0.25">
      <c r="H427378" s="7"/>
    </row>
    <row r="427721" spans="8:8" x14ac:dyDescent="0.25">
      <c r="H427721" s="7"/>
    </row>
    <row r="428064" spans="8:8" x14ac:dyDescent="0.25">
      <c r="H428064" s="7"/>
    </row>
    <row r="428407" spans="8:8" x14ac:dyDescent="0.25">
      <c r="H428407" s="7"/>
    </row>
    <row r="428750" spans="8:8" x14ac:dyDescent="0.25">
      <c r="H428750" s="7"/>
    </row>
    <row r="429093" spans="8:8" x14ac:dyDescent="0.25">
      <c r="H429093" s="7"/>
    </row>
    <row r="429436" spans="8:8" x14ac:dyDescent="0.25">
      <c r="H429436" s="7"/>
    </row>
    <row r="429779" spans="8:8" x14ac:dyDescent="0.25">
      <c r="H429779" s="7"/>
    </row>
    <row r="430122" spans="8:8" x14ac:dyDescent="0.25">
      <c r="H430122" s="7"/>
    </row>
    <row r="430465" spans="8:8" x14ac:dyDescent="0.25">
      <c r="H430465" s="7"/>
    </row>
    <row r="430808" spans="8:8" x14ac:dyDescent="0.25">
      <c r="H430808" s="7"/>
    </row>
    <row r="431151" spans="8:8" x14ac:dyDescent="0.25">
      <c r="H431151" s="7"/>
    </row>
    <row r="431494" spans="8:8" x14ac:dyDescent="0.25">
      <c r="H431494" s="7"/>
    </row>
    <row r="431837" spans="8:8" x14ac:dyDescent="0.25">
      <c r="H431837" s="7"/>
    </row>
    <row r="432180" spans="8:8" x14ac:dyDescent="0.25">
      <c r="H432180" s="7"/>
    </row>
    <row r="432523" spans="8:8" x14ac:dyDescent="0.25">
      <c r="H432523" s="7"/>
    </row>
    <row r="432866" spans="8:8" x14ac:dyDescent="0.25">
      <c r="H432866" s="7"/>
    </row>
    <row r="433209" spans="8:8" x14ac:dyDescent="0.25">
      <c r="H433209" s="7"/>
    </row>
    <row r="433552" spans="8:8" x14ac:dyDescent="0.25">
      <c r="H433552" s="7"/>
    </row>
    <row r="433895" spans="8:8" x14ac:dyDescent="0.25">
      <c r="H433895" s="7"/>
    </row>
    <row r="434238" spans="8:8" x14ac:dyDescent="0.25">
      <c r="H434238" s="7"/>
    </row>
    <row r="434581" spans="8:8" x14ac:dyDescent="0.25">
      <c r="H434581" s="7"/>
    </row>
    <row r="434924" spans="8:8" x14ac:dyDescent="0.25">
      <c r="H434924" s="7"/>
    </row>
    <row r="435267" spans="8:8" x14ac:dyDescent="0.25">
      <c r="H435267" s="7"/>
    </row>
    <row r="435610" spans="8:8" x14ac:dyDescent="0.25">
      <c r="H435610" s="7"/>
    </row>
    <row r="435953" spans="8:8" x14ac:dyDescent="0.25">
      <c r="H435953" s="7"/>
    </row>
    <row r="436296" spans="8:8" x14ac:dyDescent="0.25">
      <c r="H436296" s="7"/>
    </row>
    <row r="436639" spans="8:8" x14ac:dyDescent="0.25">
      <c r="H436639" s="7"/>
    </row>
    <row r="436982" spans="8:8" x14ac:dyDescent="0.25">
      <c r="H436982" s="7"/>
    </row>
    <row r="437325" spans="8:8" x14ac:dyDescent="0.25">
      <c r="H437325" s="7"/>
    </row>
    <row r="437668" spans="8:8" x14ac:dyDescent="0.25">
      <c r="H437668" s="7"/>
    </row>
    <row r="438011" spans="8:8" x14ac:dyDescent="0.25">
      <c r="H438011" s="7"/>
    </row>
    <row r="438354" spans="8:8" x14ac:dyDescent="0.25">
      <c r="H438354" s="7"/>
    </row>
    <row r="438697" spans="8:8" x14ac:dyDescent="0.25">
      <c r="H438697" s="7"/>
    </row>
    <row r="439040" spans="8:8" x14ac:dyDescent="0.25">
      <c r="H439040" s="7"/>
    </row>
    <row r="439383" spans="8:8" x14ac:dyDescent="0.25">
      <c r="H439383" s="7"/>
    </row>
    <row r="439726" spans="8:8" x14ac:dyDescent="0.25">
      <c r="H439726" s="7"/>
    </row>
    <row r="440069" spans="8:8" x14ac:dyDescent="0.25">
      <c r="H440069" s="7"/>
    </row>
    <row r="440412" spans="8:8" x14ac:dyDescent="0.25">
      <c r="H440412" s="7"/>
    </row>
    <row r="440755" spans="8:8" x14ac:dyDescent="0.25">
      <c r="H440755" s="7"/>
    </row>
    <row r="441098" spans="8:8" x14ac:dyDescent="0.25">
      <c r="H441098" s="7"/>
    </row>
    <row r="441441" spans="8:8" x14ac:dyDescent="0.25">
      <c r="H441441" s="7"/>
    </row>
    <row r="441784" spans="8:8" x14ac:dyDescent="0.25">
      <c r="H441784" s="7"/>
    </row>
    <row r="442127" spans="8:8" x14ac:dyDescent="0.25">
      <c r="H442127" s="7"/>
    </row>
    <row r="442470" spans="8:8" x14ac:dyDescent="0.25">
      <c r="H442470" s="7"/>
    </row>
    <row r="442813" spans="8:8" x14ac:dyDescent="0.25">
      <c r="H442813" s="7"/>
    </row>
    <row r="443156" spans="8:8" x14ac:dyDescent="0.25">
      <c r="H443156" s="7"/>
    </row>
    <row r="443499" spans="8:8" x14ac:dyDescent="0.25">
      <c r="H443499" s="7"/>
    </row>
    <row r="443842" spans="8:8" x14ac:dyDescent="0.25">
      <c r="H443842" s="7"/>
    </row>
    <row r="444185" spans="8:8" x14ac:dyDescent="0.25">
      <c r="H444185" s="7"/>
    </row>
    <row r="444528" spans="8:8" x14ac:dyDescent="0.25">
      <c r="H444528" s="7"/>
    </row>
    <row r="444871" spans="8:8" x14ac:dyDescent="0.25">
      <c r="H444871" s="7"/>
    </row>
    <row r="445214" spans="8:8" x14ac:dyDescent="0.25">
      <c r="H445214" s="7"/>
    </row>
    <row r="445557" spans="8:8" x14ac:dyDescent="0.25">
      <c r="H445557" s="7"/>
    </row>
    <row r="445900" spans="8:8" x14ac:dyDescent="0.25">
      <c r="H445900" s="7"/>
    </row>
    <row r="446243" spans="8:8" x14ac:dyDescent="0.25">
      <c r="H446243" s="7"/>
    </row>
    <row r="446586" spans="8:8" x14ac:dyDescent="0.25">
      <c r="H446586" s="7"/>
    </row>
    <row r="446929" spans="8:8" x14ac:dyDescent="0.25">
      <c r="H446929" s="7"/>
    </row>
    <row r="447272" spans="8:8" x14ac:dyDescent="0.25">
      <c r="H447272" s="7"/>
    </row>
    <row r="447615" spans="8:8" x14ac:dyDescent="0.25">
      <c r="H447615" s="7"/>
    </row>
    <row r="447958" spans="8:8" x14ac:dyDescent="0.25">
      <c r="H447958" s="7"/>
    </row>
    <row r="448301" spans="8:8" x14ac:dyDescent="0.25">
      <c r="H448301" s="7"/>
    </row>
    <row r="448644" spans="8:8" x14ac:dyDescent="0.25">
      <c r="H448644" s="7"/>
    </row>
    <row r="448987" spans="8:8" x14ac:dyDescent="0.25">
      <c r="H448987" s="7"/>
    </row>
    <row r="449330" spans="8:8" x14ac:dyDescent="0.25">
      <c r="H449330" s="7"/>
    </row>
    <row r="449673" spans="8:8" x14ac:dyDescent="0.25">
      <c r="H449673" s="7"/>
    </row>
    <row r="450016" spans="8:8" x14ac:dyDescent="0.25">
      <c r="H450016" s="7"/>
    </row>
    <row r="450359" spans="8:8" x14ac:dyDescent="0.25">
      <c r="H450359" s="7"/>
    </row>
    <row r="450702" spans="8:8" x14ac:dyDescent="0.25">
      <c r="H450702" s="7"/>
    </row>
    <row r="451045" spans="8:8" x14ac:dyDescent="0.25">
      <c r="H451045" s="7"/>
    </row>
    <row r="451388" spans="8:8" x14ac:dyDescent="0.25">
      <c r="H451388" s="7"/>
    </row>
    <row r="451731" spans="8:8" x14ac:dyDescent="0.25">
      <c r="H451731" s="7"/>
    </row>
    <row r="452074" spans="8:8" x14ac:dyDescent="0.25">
      <c r="H452074" s="7"/>
    </row>
    <row r="452417" spans="8:8" x14ac:dyDescent="0.25">
      <c r="H452417" s="7"/>
    </row>
    <row r="452760" spans="8:8" x14ac:dyDescent="0.25">
      <c r="H452760" s="7"/>
    </row>
    <row r="453103" spans="8:8" x14ac:dyDescent="0.25">
      <c r="H453103" s="7"/>
    </row>
    <row r="453446" spans="8:8" x14ac:dyDescent="0.25">
      <c r="H453446" s="7"/>
    </row>
    <row r="453789" spans="8:8" x14ac:dyDescent="0.25">
      <c r="H453789" s="7"/>
    </row>
    <row r="454132" spans="8:8" x14ac:dyDescent="0.25">
      <c r="H454132" s="7"/>
    </row>
    <row r="454475" spans="8:8" x14ac:dyDescent="0.25">
      <c r="H454475" s="7"/>
    </row>
    <row r="454818" spans="8:8" x14ac:dyDescent="0.25">
      <c r="H454818" s="7"/>
    </row>
    <row r="455161" spans="8:8" x14ac:dyDescent="0.25">
      <c r="H455161" s="7"/>
    </row>
    <row r="455504" spans="8:8" x14ac:dyDescent="0.25">
      <c r="H455504" s="7"/>
    </row>
    <row r="455847" spans="8:8" x14ac:dyDescent="0.25">
      <c r="H455847" s="7"/>
    </row>
    <row r="456190" spans="8:8" x14ac:dyDescent="0.25">
      <c r="H456190" s="7"/>
    </row>
    <row r="456533" spans="8:8" x14ac:dyDescent="0.25">
      <c r="H456533" s="7"/>
    </row>
    <row r="456876" spans="8:8" x14ac:dyDescent="0.25">
      <c r="H456876" s="7"/>
    </row>
    <row r="457219" spans="8:8" x14ac:dyDescent="0.25">
      <c r="H457219" s="7"/>
    </row>
    <row r="457562" spans="8:8" x14ac:dyDescent="0.25">
      <c r="H457562" s="7"/>
    </row>
    <row r="457905" spans="8:8" x14ac:dyDescent="0.25">
      <c r="H457905" s="7"/>
    </row>
    <row r="458248" spans="8:8" x14ac:dyDescent="0.25">
      <c r="H458248" s="7"/>
    </row>
    <row r="458591" spans="8:8" x14ac:dyDescent="0.25">
      <c r="H458591" s="7"/>
    </row>
    <row r="458934" spans="8:8" x14ac:dyDescent="0.25">
      <c r="H458934" s="7"/>
    </row>
    <row r="459277" spans="8:8" x14ac:dyDescent="0.25">
      <c r="H459277" s="7"/>
    </row>
    <row r="459620" spans="8:8" x14ac:dyDescent="0.25">
      <c r="H459620" s="7"/>
    </row>
    <row r="459963" spans="8:8" x14ac:dyDescent="0.25">
      <c r="H459963" s="7"/>
    </row>
    <row r="460306" spans="8:8" x14ac:dyDescent="0.25">
      <c r="H460306" s="7"/>
    </row>
    <row r="460649" spans="8:8" x14ac:dyDescent="0.25">
      <c r="H460649" s="7"/>
    </row>
    <row r="460992" spans="8:8" x14ac:dyDescent="0.25">
      <c r="H460992" s="7"/>
    </row>
    <row r="461335" spans="8:8" x14ac:dyDescent="0.25">
      <c r="H461335" s="7"/>
    </row>
    <row r="461678" spans="8:8" x14ac:dyDescent="0.25">
      <c r="H461678" s="7"/>
    </row>
    <row r="462021" spans="8:8" x14ac:dyDescent="0.25">
      <c r="H462021" s="7"/>
    </row>
    <row r="462364" spans="8:8" x14ac:dyDescent="0.25">
      <c r="H462364" s="7"/>
    </row>
    <row r="462707" spans="8:8" x14ac:dyDescent="0.25">
      <c r="H462707" s="7"/>
    </row>
    <row r="463050" spans="8:8" x14ac:dyDescent="0.25">
      <c r="H463050" s="7"/>
    </row>
    <row r="463393" spans="8:8" x14ac:dyDescent="0.25">
      <c r="H463393" s="7"/>
    </row>
    <row r="463736" spans="8:8" x14ac:dyDescent="0.25">
      <c r="H463736" s="7"/>
    </row>
    <row r="464079" spans="8:8" x14ac:dyDescent="0.25">
      <c r="H464079" s="7"/>
    </row>
    <row r="464422" spans="8:8" x14ac:dyDescent="0.25">
      <c r="H464422" s="7"/>
    </row>
    <row r="464765" spans="8:8" x14ac:dyDescent="0.25">
      <c r="H464765" s="7"/>
    </row>
    <row r="465108" spans="8:8" x14ac:dyDescent="0.25">
      <c r="H465108" s="7"/>
    </row>
    <row r="465451" spans="8:8" x14ac:dyDescent="0.25">
      <c r="H465451" s="7"/>
    </row>
    <row r="465794" spans="8:8" x14ac:dyDescent="0.25">
      <c r="H465794" s="7"/>
    </row>
    <row r="466137" spans="8:8" x14ac:dyDescent="0.25">
      <c r="H466137" s="7"/>
    </row>
    <row r="466480" spans="8:8" x14ac:dyDescent="0.25">
      <c r="H466480" s="7"/>
    </row>
    <row r="466823" spans="8:8" x14ac:dyDescent="0.25">
      <c r="H466823" s="7"/>
    </row>
    <row r="467166" spans="8:8" x14ac:dyDescent="0.25">
      <c r="H467166" s="7"/>
    </row>
    <row r="467509" spans="8:8" x14ac:dyDescent="0.25">
      <c r="H467509" s="7"/>
    </row>
    <row r="467852" spans="8:8" x14ac:dyDescent="0.25">
      <c r="H467852" s="7"/>
    </row>
    <row r="468195" spans="8:8" x14ac:dyDescent="0.25">
      <c r="H468195" s="7"/>
    </row>
    <row r="468538" spans="8:8" x14ac:dyDescent="0.25">
      <c r="H468538" s="7"/>
    </row>
    <row r="468881" spans="8:8" x14ac:dyDescent="0.25">
      <c r="H468881" s="7"/>
    </row>
    <row r="469224" spans="8:8" x14ac:dyDescent="0.25">
      <c r="H469224" s="7"/>
    </row>
    <row r="469567" spans="8:8" x14ac:dyDescent="0.25">
      <c r="H469567" s="7"/>
    </row>
    <row r="469910" spans="8:8" x14ac:dyDescent="0.25">
      <c r="H469910" s="7"/>
    </row>
    <row r="470253" spans="8:8" x14ac:dyDescent="0.25">
      <c r="H470253" s="7"/>
    </row>
    <row r="470596" spans="8:8" x14ac:dyDescent="0.25">
      <c r="H470596" s="7"/>
    </row>
    <row r="470939" spans="8:8" x14ac:dyDescent="0.25">
      <c r="H470939" s="7"/>
    </row>
    <row r="471282" spans="8:8" x14ac:dyDescent="0.25">
      <c r="H471282" s="7"/>
    </row>
    <row r="471625" spans="8:8" x14ac:dyDescent="0.25">
      <c r="H471625" s="7"/>
    </row>
    <row r="471968" spans="8:8" x14ac:dyDescent="0.25">
      <c r="H471968" s="7"/>
    </row>
    <row r="472311" spans="8:8" x14ac:dyDescent="0.25">
      <c r="H472311" s="7"/>
    </row>
    <row r="472654" spans="8:8" x14ac:dyDescent="0.25">
      <c r="H472654" s="7"/>
    </row>
    <row r="472997" spans="8:8" x14ac:dyDescent="0.25">
      <c r="H472997" s="7"/>
    </row>
    <row r="473340" spans="8:8" x14ac:dyDescent="0.25">
      <c r="H473340" s="7"/>
    </row>
    <row r="473683" spans="8:8" x14ac:dyDescent="0.25">
      <c r="H473683" s="7"/>
    </row>
    <row r="474026" spans="8:8" x14ac:dyDescent="0.25">
      <c r="H474026" s="7"/>
    </row>
    <row r="474369" spans="8:8" x14ac:dyDescent="0.25">
      <c r="H474369" s="7"/>
    </row>
    <row r="474712" spans="8:8" x14ac:dyDescent="0.25">
      <c r="H474712" s="7"/>
    </row>
    <row r="475055" spans="8:8" x14ac:dyDescent="0.25">
      <c r="H475055" s="7"/>
    </row>
    <row r="475398" spans="8:8" x14ac:dyDescent="0.25">
      <c r="H475398" s="7"/>
    </row>
    <row r="475741" spans="8:8" x14ac:dyDescent="0.25">
      <c r="H475741" s="7"/>
    </row>
    <row r="476084" spans="8:8" x14ac:dyDescent="0.25">
      <c r="H476084" s="7"/>
    </row>
    <row r="476427" spans="8:8" x14ac:dyDescent="0.25">
      <c r="H476427" s="7"/>
    </row>
    <row r="476770" spans="8:8" x14ac:dyDescent="0.25">
      <c r="H476770" s="7"/>
    </row>
    <row r="477113" spans="8:8" x14ac:dyDescent="0.25">
      <c r="H477113" s="7"/>
    </row>
    <row r="477456" spans="8:8" x14ac:dyDescent="0.25">
      <c r="H477456" s="7"/>
    </row>
    <row r="477799" spans="8:8" x14ac:dyDescent="0.25">
      <c r="H477799" s="7"/>
    </row>
    <row r="478142" spans="8:8" x14ac:dyDescent="0.25">
      <c r="H478142" s="7"/>
    </row>
    <row r="478485" spans="8:8" x14ac:dyDescent="0.25">
      <c r="H478485" s="7"/>
    </row>
    <row r="478828" spans="8:8" x14ac:dyDescent="0.25">
      <c r="H478828" s="7"/>
    </row>
    <row r="479171" spans="8:8" x14ac:dyDescent="0.25">
      <c r="H479171" s="7"/>
    </row>
    <row r="479514" spans="8:8" x14ac:dyDescent="0.25">
      <c r="H479514" s="7"/>
    </row>
    <row r="479857" spans="8:8" x14ac:dyDescent="0.25">
      <c r="H479857" s="7"/>
    </row>
    <row r="480200" spans="8:8" x14ac:dyDescent="0.25">
      <c r="H480200" s="7"/>
    </row>
    <row r="480543" spans="8:8" x14ac:dyDescent="0.25">
      <c r="H480543" s="7"/>
    </row>
    <row r="480886" spans="8:8" x14ac:dyDescent="0.25">
      <c r="H480886" s="7"/>
    </row>
    <row r="481229" spans="8:8" x14ac:dyDescent="0.25">
      <c r="H481229" s="7"/>
    </row>
    <row r="481572" spans="8:8" x14ac:dyDescent="0.25">
      <c r="H481572" s="7"/>
    </row>
    <row r="481915" spans="8:8" x14ac:dyDescent="0.25">
      <c r="H481915" s="7"/>
    </row>
    <row r="482258" spans="8:8" x14ac:dyDescent="0.25">
      <c r="H482258" s="7"/>
    </row>
    <row r="482601" spans="8:8" x14ac:dyDescent="0.25">
      <c r="H482601" s="7"/>
    </row>
    <row r="482944" spans="8:8" x14ac:dyDescent="0.25">
      <c r="H482944" s="7"/>
    </row>
    <row r="483287" spans="8:8" x14ac:dyDescent="0.25">
      <c r="H483287" s="7"/>
    </row>
    <row r="483630" spans="8:8" x14ac:dyDescent="0.25">
      <c r="H483630" s="7"/>
    </row>
    <row r="483973" spans="8:8" x14ac:dyDescent="0.25">
      <c r="H483973" s="7"/>
    </row>
    <row r="484316" spans="8:8" x14ac:dyDescent="0.25">
      <c r="H484316" s="7"/>
    </row>
    <row r="484659" spans="8:8" x14ac:dyDescent="0.25">
      <c r="H484659" s="7"/>
    </row>
    <row r="485002" spans="8:8" x14ac:dyDescent="0.25">
      <c r="H485002" s="7"/>
    </row>
    <row r="485345" spans="8:8" x14ac:dyDescent="0.25">
      <c r="H485345" s="7"/>
    </row>
    <row r="485688" spans="8:8" x14ac:dyDescent="0.25">
      <c r="H485688" s="7"/>
    </row>
    <row r="486031" spans="8:8" x14ac:dyDescent="0.25">
      <c r="H486031" s="7"/>
    </row>
    <row r="486374" spans="8:8" x14ac:dyDescent="0.25">
      <c r="H486374" s="7"/>
    </row>
    <row r="486717" spans="8:8" x14ac:dyDescent="0.25">
      <c r="H486717" s="7"/>
    </row>
    <row r="487060" spans="8:8" x14ac:dyDescent="0.25">
      <c r="H487060" s="7"/>
    </row>
    <row r="487403" spans="8:8" x14ac:dyDescent="0.25">
      <c r="H487403" s="7"/>
    </row>
    <row r="487746" spans="8:8" x14ac:dyDescent="0.25">
      <c r="H487746" s="7"/>
    </row>
    <row r="488089" spans="8:8" x14ac:dyDescent="0.25">
      <c r="H488089" s="7"/>
    </row>
    <row r="488432" spans="8:8" x14ac:dyDescent="0.25">
      <c r="H488432" s="7"/>
    </row>
    <row r="488775" spans="8:8" x14ac:dyDescent="0.25">
      <c r="H488775" s="7"/>
    </row>
    <row r="489118" spans="8:8" x14ac:dyDescent="0.25">
      <c r="H489118" s="7"/>
    </row>
    <row r="489461" spans="8:8" x14ac:dyDescent="0.25">
      <c r="H489461" s="7"/>
    </row>
    <row r="489804" spans="8:8" x14ac:dyDescent="0.25">
      <c r="H489804" s="7"/>
    </row>
    <row r="490147" spans="8:8" x14ac:dyDescent="0.25">
      <c r="H490147" s="7"/>
    </row>
    <row r="490490" spans="8:8" x14ac:dyDescent="0.25">
      <c r="H490490" s="7"/>
    </row>
    <row r="490833" spans="8:8" x14ac:dyDescent="0.25">
      <c r="H490833" s="7"/>
    </row>
    <row r="491176" spans="8:8" x14ac:dyDescent="0.25">
      <c r="H491176" s="7"/>
    </row>
    <row r="491519" spans="8:8" x14ac:dyDescent="0.25">
      <c r="H491519" s="7"/>
    </row>
    <row r="491862" spans="8:8" x14ac:dyDescent="0.25">
      <c r="H491862" s="7"/>
    </row>
    <row r="492205" spans="8:8" x14ac:dyDescent="0.25">
      <c r="H492205" s="7"/>
    </row>
    <row r="492548" spans="8:8" x14ac:dyDescent="0.25">
      <c r="H492548" s="7"/>
    </row>
    <row r="492891" spans="8:8" x14ac:dyDescent="0.25">
      <c r="H492891" s="7"/>
    </row>
    <row r="493234" spans="8:8" x14ac:dyDescent="0.25">
      <c r="H493234" s="7"/>
    </row>
    <row r="493577" spans="8:8" x14ac:dyDescent="0.25">
      <c r="H493577" s="7"/>
    </row>
    <row r="493920" spans="8:8" x14ac:dyDescent="0.25">
      <c r="H493920" s="7"/>
    </row>
    <row r="494263" spans="8:8" x14ac:dyDescent="0.25">
      <c r="H494263" s="7"/>
    </row>
    <row r="494606" spans="8:8" x14ac:dyDescent="0.25">
      <c r="H494606" s="7"/>
    </row>
    <row r="494949" spans="8:8" x14ac:dyDescent="0.25">
      <c r="H494949" s="7"/>
    </row>
    <row r="495292" spans="8:8" x14ac:dyDescent="0.25">
      <c r="H495292" s="7"/>
    </row>
    <row r="495635" spans="8:8" x14ac:dyDescent="0.25">
      <c r="H495635" s="7"/>
    </row>
    <row r="495978" spans="8:8" x14ac:dyDescent="0.25">
      <c r="H495978" s="7"/>
    </row>
    <row r="496321" spans="8:8" x14ac:dyDescent="0.25">
      <c r="H496321" s="7"/>
    </row>
    <row r="496664" spans="8:8" x14ac:dyDescent="0.25">
      <c r="H496664" s="7"/>
    </row>
    <row r="497007" spans="8:8" x14ac:dyDescent="0.25">
      <c r="H497007" s="7"/>
    </row>
    <row r="497350" spans="8:8" x14ac:dyDescent="0.25">
      <c r="H497350" s="7"/>
    </row>
    <row r="497693" spans="8:8" x14ac:dyDescent="0.25">
      <c r="H497693" s="7"/>
    </row>
    <row r="498036" spans="8:8" x14ac:dyDescent="0.25">
      <c r="H498036" s="7"/>
    </row>
    <row r="498379" spans="8:8" x14ac:dyDescent="0.25">
      <c r="H498379" s="7"/>
    </row>
    <row r="498722" spans="8:8" x14ac:dyDescent="0.25">
      <c r="H498722" s="7"/>
    </row>
    <row r="499065" spans="8:8" x14ac:dyDescent="0.25">
      <c r="H499065" s="7"/>
    </row>
    <row r="499408" spans="8:8" x14ac:dyDescent="0.25">
      <c r="H499408" s="7"/>
    </row>
    <row r="499751" spans="8:8" x14ac:dyDescent="0.25">
      <c r="H499751" s="7"/>
    </row>
    <row r="500094" spans="8:8" x14ac:dyDescent="0.25">
      <c r="H500094" s="7"/>
    </row>
    <row r="500437" spans="8:8" x14ac:dyDescent="0.25">
      <c r="H500437" s="7"/>
    </row>
    <row r="500780" spans="8:8" x14ac:dyDescent="0.25">
      <c r="H500780" s="7"/>
    </row>
    <row r="501123" spans="8:8" x14ac:dyDescent="0.25">
      <c r="H501123" s="7"/>
    </row>
    <row r="501466" spans="8:8" x14ac:dyDescent="0.25">
      <c r="H501466" s="7"/>
    </row>
    <row r="501809" spans="8:8" x14ac:dyDescent="0.25">
      <c r="H501809" s="7"/>
    </row>
    <row r="502152" spans="8:8" x14ac:dyDescent="0.25">
      <c r="H502152" s="7"/>
    </row>
    <row r="502495" spans="8:8" x14ac:dyDescent="0.25">
      <c r="H502495" s="7"/>
    </row>
    <row r="502838" spans="8:8" x14ac:dyDescent="0.25">
      <c r="H502838" s="7"/>
    </row>
    <row r="503181" spans="8:8" x14ac:dyDescent="0.25">
      <c r="H503181" s="7"/>
    </row>
    <row r="503524" spans="8:8" x14ac:dyDescent="0.25">
      <c r="H503524" s="7"/>
    </row>
    <row r="503867" spans="8:8" x14ac:dyDescent="0.25">
      <c r="H503867" s="7"/>
    </row>
    <row r="504210" spans="8:8" x14ac:dyDescent="0.25">
      <c r="H504210" s="7"/>
    </row>
    <row r="504553" spans="8:8" x14ac:dyDescent="0.25">
      <c r="H504553" s="7"/>
    </row>
    <row r="504896" spans="8:8" x14ac:dyDescent="0.25">
      <c r="H504896" s="7"/>
    </row>
    <row r="505239" spans="8:8" x14ac:dyDescent="0.25">
      <c r="H505239" s="7"/>
    </row>
    <row r="505582" spans="8:8" x14ac:dyDescent="0.25">
      <c r="H505582" s="7"/>
    </row>
    <row r="505925" spans="8:8" x14ac:dyDescent="0.25">
      <c r="H505925" s="7"/>
    </row>
    <row r="506268" spans="8:8" x14ac:dyDescent="0.25">
      <c r="H506268" s="7"/>
    </row>
    <row r="506611" spans="8:8" x14ac:dyDescent="0.25">
      <c r="H506611" s="7"/>
    </row>
    <row r="506954" spans="8:8" x14ac:dyDescent="0.25">
      <c r="H506954" s="7"/>
    </row>
    <row r="507297" spans="8:8" x14ac:dyDescent="0.25">
      <c r="H507297" s="7"/>
    </row>
    <row r="507640" spans="8:8" x14ac:dyDescent="0.25">
      <c r="H507640" s="7"/>
    </row>
    <row r="507983" spans="8:8" x14ac:dyDescent="0.25">
      <c r="H507983" s="7"/>
    </row>
    <row r="508326" spans="8:8" x14ac:dyDescent="0.25">
      <c r="H508326" s="7"/>
    </row>
    <row r="508669" spans="8:8" x14ac:dyDescent="0.25">
      <c r="H508669" s="7"/>
    </row>
    <row r="509012" spans="8:8" x14ac:dyDescent="0.25">
      <c r="H509012" s="7"/>
    </row>
    <row r="509355" spans="8:8" x14ac:dyDescent="0.25">
      <c r="H509355" s="7"/>
    </row>
    <row r="509698" spans="8:8" x14ac:dyDescent="0.25">
      <c r="H509698" s="7"/>
    </row>
    <row r="510041" spans="8:8" x14ac:dyDescent="0.25">
      <c r="H510041" s="7"/>
    </row>
    <row r="510384" spans="8:8" x14ac:dyDescent="0.25">
      <c r="H510384" s="7"/>
    </row>
    <row r="510727" spans="8:8" x14ac:dyDescent="0.25">
      <c r="H510727" s="7"/>
    </row>
    <row r="511070" spans="8:8" x14ac:dyDescent="0.25">
      <c r="H511070" s="7"/>
    </row>
    <row r="511413" spans="8:8" x14ac:dyDescent="0.25">
      <c r="H511413" s="7"/>
    </row>
    <row r="511756" spans="8:8" x14ac:dyDescent="0.25">
      <c r="H511756" s="7"/>
    </row>
    <row r="512099" spans="8:8" x14ac:dyDescent="0.25">
      <c r="H512099" s="7"/>
    </row>
    <row r="512442" spans="8:8" x14ac:dyDescent="0.25">
      <c r="H512442" s="7"/>
    </row>
    <row r="512785" spans="8:8" x14ac:dyDescent="0.25">
      <c r="H512785" s="7"/>
    </row>
    <row r="513128" spans="8:8" x14ac:dyDescent="0.25">
      <c r="H513128" s="7"/>
    </row>
    <row r="513471" spans="8:8" x14ac:dyDescent="0.25">
      <c r="H513471" s="7"/>
    </row>
    <row r="513814" spans="8:8" x14ac:dyDescent="0.25">
      <c r="H513814" s="7"/>
    </row>
    <row r="514157" spans="8:8" x14ac:dyDescent="0.25">
      <c r="H514157" s="7"/>
    </row>
    <row r="514500" spans="8:8" x14ac:dyDescent="0.25">
      <c r="H514500" s="7"/>
    </row>
    <row r="514843" spans="8:8" x14ac:dyDescent="0.25">
      <c r="H514843" s="7"/>
    </row>
    <row r="515186" spans="8:8" x14ac:dyDescent="0.25">
      <c r="H515186" s="7"/>
    </row>
    <row r="515529" spans="8:8" x14ac:dyDescent="0.25">
      <c r="H515529" s="7"/>
    </row>
    <row r="515872" spans="8:8" x14ac:dyDescent="0.25">
      <c r="H515872" s="7"/>
    </row>
    <row r="516215" spans="8:8" x14ac:dyDescent="0.25">
      <c r="H516215" s="7"/>
    </row>
    <row r="516558" spans="8:8" x14ac:dyDescent="0.25">
      <c r="H516558" s="7"/>
    </row>
    <row r="516901" spans="8:8" x14ac:dyDescent="0.25">
      <c r="H516901" s="7"/>
    </row>
    <row r="517244" spans="8:8" x14ac:dyDescent="0.25">
      <c r="H517244" s="7"/>
    </row>
    <row r="517587" spans="8:8" x14ac:dyDescent="0.25">
      <c r="H517587" s="7"/>
    </row>
    <row r="517930" spans="8:8" x14ac:dyDescent="0.25">
      <c r="H517930" s="7"/>
    </row>
    <row r="518273" spans="8:8" x14ac:dyDescent="0.25">
      <c r="H518273" s="7"/>
    </row>
    <row r="518616" spans="8:8" x14ac:dyDescent="0.25">
      <c r="H518616" s="7"/>
    </row>
    <row r="518959" spans="8:8" x14ac:dyDescent="0.25">
      <c r="H518959" s="7"/>
    </row>
    <row r="519302" spans="8:8" x14ac:dyDescent="0.25">
      <c r="H519302" s="7"/>
    </row>
    <row r="519645" spans="8:8" x14ac:dyDescent="0.25">
      <c r="H519645" s="7"/>
    </row>
    <row r="519988" spans="8:8" x14ac:dyDescent="0.25">
      <c r="H519988" s="7"/>
    </row>
    <row r="520331" spans="8:8" x14ac:dyDescent="0.25">
      <c r="H520331" s="7"/>
    </row>
    <row r="520674" spans="8:8" x14ac:dyDescent="0.25">
      <c r="H520674" s="7"/>
    </row>
    <row r="521017" spans="8:8" x14ac:dyDescent="0.25">
      <c r="H521017" s="7"/>
    </row>
    <row r="521360" spans="8:8" x14ac:dyDescent="0.25">
      <c r="H521360" s="7"/>
    </row>
    <row r="521703" spans="8:8" x14ac:dyDescent="0.25">
      <c r="H521703" s="7"/>
    </row>
    <row r="522046" spans="8:8" x14ac:dyDescent="0.25">
      <c r="H522046" s="7"/>
    </row>
    <row r="522389" spans="8:8" x14ac:dyDescent="0.25">
      <c r="H522389" s="7"/>
    </row>
    <row r="522732" spans="8:8" x14ac:dyDescent="0.25">
      <c r="H522732" s="7"/>
    </row>
    <row r="523075" spans="8:8" x14ac:dyDescent="0.25">
      <c r="H523075" s="7"/>
    </row>
    <row r="523418" spans="8:8" x14ac:dyDescent="0.25">
      <c r="H523418" s="7"/>
    </row>
    <row r="523761" spans="8:8" x14ac:dyDescent="0.25">
      <c r="H523761" s="7"/>
    </row>
    <row r="524104" spans="8:8" x14ac:dyDescent="0.25">
      <c r="H524104" s="7"/>
    </row>
    <row r="524447" spans="8:8" x14ac:dyDescent="0.25">
      <c r="H524447" s="7"/>
    </row>
    <row r="524790" spans="8:8" x14ac:dyDescent="0.25">
      <c r="H524790" s="7"/>
    </row>
    <row r="525133" spans="8:8" x14ac:dyDescent="0.25">
      <c r="H525133" s="7"/>
    </row>
    <row r="525476" spans="8:8" x14ac:dyDescent="0.25">
      <c r="H525476" s="7"/>
    </row>
    <row r="525819" spans="8:8" x14ac:dyDescent="0.25">
      <c r="H525819" s="7"/>
    </row>
    <row r="526162" spans="8:8" x14ac:dyDescent="0.25">
      <c r="H526162" s="7"/>
    </row>
    <row r="526505" spans="8:8" x14ac:dyDescent="0.25">
      <c r="H526505" s="7"/>
    </row>
    <row r="526848" spans="8:8" x14ac:dyDescent="0.25">
      <c r="H526848" s="7"/>
    </row>
    <row r="527191" spans="8:8" x14ac:dyDescent="0.25">
      <c r="H527191" s="7"/>
    </row>
    <row r="527534" spans="8:8" x14ac:dyDescent="0.25">
      <c r="H527534" s="7"/>
    </row>
    <row r="527877" spans="8:8" x14ac:dyDescent="0.25">
      <c r="H527877" s="7"/>
    </row>
    <row r="528220" spans="8:8" x14ac:dyDescent="0.25">
      <c r="H528220" s="7"/>
    </row>
    <row r="528563" spans="8:8" x14ac:dyDescent="0.25">
      <c r="H528563" s="7"/>
    </row>
    <row r="528906" spans="8:8" x14ac:dyDescent="0.25">
      <c r="H528906" s="7"/>
    </row>
    <row r="529249" spans="8:8" x14ac:dyDescent="0.25">
      <c r="H529249" s="7"/>
    </row>
    <row r="529592" spans="8:8" x14ac:dyDescent="0.25">
      <c r="H529592" s="7"/>
    </row>
    <row r="529935" spans="8:8" x14ac:dyDescent="0.25">
      <c r="H529935" s="7"/>
    </row>
    <row r="530278" spans="8:8" x14ac:dyDescent="0.25">
      <c r="H530278" s="7"/>
    </row>
    <row r="530621" spans="8:8" x14ac:dyDescent="0.25">
      <c r="H530621" s="7"/>
    </row>
    <row r="530964" spans="8:8" x14ac:dyDescent="0.25">
      <c r="H530964" s="7"/>
    </row>
    <row r="531307" spans="8:8" x14ac:dyDescent="0.25">
      <c r="H531307" s="7"/>
    </row>
    <row r="531650" spans="8:8" x14ac:dyDescent="0.25">
      <c r="H531650" s="7"/>
    </row>
    <row r="531993" spans="8:8" x14ac:dyDescent="0.25">
      <c r="H531993" s="7"/>
    </row>
    <row r="532336" spans="8:8" x14ac:dyDescent="0.25">
      <c r="H532336" s="7"/>
    </row>
    <row r="532679" spans="8:8" x14ac:dyDescent="0.25">
      <c r="H532679" s="7"/>
    </row>
    <row r="533022" spans="8:8" x14ac:dyDescent="0.25">
      <c r="H533022" s="7"/>
    </row>
    <row r="533365" spans="8:8" x14ac:dyDescent="0.25">
      <c r="H533365" s="7"/>
    </row>
    <row r="533708" spans="8:8" x14ac:dyDescent="0.25">
      <c r="H533708" s="7"/>
    </row>
    <row r="534051" spans="8:8" x14ac:dyDescent="0.25">
      <c r="H534051" s="7"/>
    </row>
    <row r="534394" spans="8:8" x14ac:dyDescent="0.25">
      <c r="H534394" s="7"/>
    </row>
    <row r="534737" spans="8:8" x14ac:dyDescent="0.25">
      <c r="H534737" s="7"/>
    </row>
    <row r="535080" spans="8:8" x14ac:dyDescent="0.25">
      <c r="H535080" s="7"/>
    </row>
    <row r="535423" spans="8:8" x14ac:dyDescent="0.25">
      <c r="H535423" s="7"/>
    </row>
    <row r="535766" spans="8:8" x14ac:dyDescent="0.25">
      <c r="H535766" s="7"/>
    </row>
    <row r="536109" spans="8:8" x14ac:dyDescent="0.25">
      <c r="H536109" s="7"/>
    </row>
    <row r="536452" spans="8:8" x14ac:dyDescent="0.25">
      <c r="H536452" s="7"/>
    </row>
    <row r="536795" spans="8:8" x14ac:dyDescent="0.25">
      <c r="H536795" s="7"/>
    </row>
    <row r="537138" spans="8:8" x14ac:dyDescent="0.25">
      <c r="H537138" s="7"/>
    </row>
    <row r="537481" spans="8:8" x14ac:dyDescent="0.25">
      <c r="H537481" s="7"/>
    </row>
    <row r="537824" spans="8:8" x14ac:dyDescent="0.25">
      <c r="H537824" s="7"/>
    </row>
    <row r="538167" spans="8:8" x14ac:dyDescent="0.25">
      <c r="H538167" s="7"/>
    </row>
    <row r="538510" spans="8:8" x14ac:dyDescent="0.25">
      <c r="H538510" s="7"/>
    </row>
    <row r="538853" spans="8:8" x14ac:dyDescent="0.25">
      <c r="H538853" s="7"/>
    </row>
    <row r="539196" spans="8:8" x14ac:dyDescent="0.25">
      <c r="H539196" s="7"/>
    </row>
    <row r="539539" spans="8:8" x14ac:dyDescent="0.25">
      <c r="H539539" s="7"/>
    </row>
    <row r="539882" spans="8:8" x14ac:dyDescent="0.25">
      <c r="H539882" s="7"/>
    </row>
    <row r="540225" spans="8:8" x14ac:dyDescent="0.25">
      <c r="H540225" s="7"/>
    </row>
    <row r="540568" spans="8:8" x14ac:dyDescent="0.25">
      <c r="H540568" s="7"/>
    </row>
    <row r="540911" spans="8:8" x14ac:dyDescent="0.25">
      <c r="H540911" s="7"/>
    </row>
    <row r="541254" spans="8:8" x14ac:dyDescent="0.25">
      <c r="H541254" s="7"/>
    </row>
    <row r="541597" spans="8:8" x14ac:dyDescent="0.25">
      <c r="H541597" s="7"/>
    </row>
    <row r="541940" spans="8:8" x14ac:dyDescent="0.25">
      <c r="H541940" s="7"/>
    </row>
    <row r="542283" spans="8:8" x14ac:dyDescent="0.25">
      <c r="H542283" s="7"/>
    </row>
    <row r="542626" spans="8:8" x14ac:dyDescent="0.25">
      <c r="H542626" s="7"/>
    </row>
    <row r="542969" spans="8:8" x14ac:dyDescent="0.25">
      <c r="H542969" s="7"/>
    </row>
    <row r="543312" spans="8:8" x14ac:dyDescent="0.25">
      <c r="H543312" s="7"/>
    </row>
    <row r="543655" spans="8:8" x14ac:dyDescent="0.25">
      <c r="H543655" s="7"/>
    </row>
    <row r="543998" spans="8:8" x14ac:dyDescent="0.25">
      <c r="H543998" s="7"/>
    </row>
    <row r="544341" spans="8:8" x14ac:dyDescent="0.25">
      <c r="H544341" s="7"/>
    </row>
    <row r="544684" spans="8:8" x14ac:dyDescent="0.25">
      <c r="H544684" s="7"/>
    </row>
    <row r="545027" spans="8:8" x14ac:dyDescent="0.25">
      <c r="H545027" s="7"/>
    </row>
    <row r="545370" spans="8:8" x14ac:dyDescent="0.25">
      <c r="H545370" s="7"/>
    </row>
    <row r="545713" spans="8:8" x14ac:dyDescent="0.25">
      <c r="H545713" s="7"/>
    </row>
    <row r="546056" spans="8:8" x14ac:dyDescent="0.25">
      <c r="H546056" s="7"/>
    </row>
    <row r="546399" spans="8:8" x14ac:dyDescent="0.25">
      <c r="H546399" s="7"/>
    </row>
    <row r="546742" spans="8:8" x14ac:dyDescent="0.25">
      <c r="H546742" s="7"/>
    </row>
    <row r="547085" spans="8:8" x14ac:dyDescent="0.25">
      <c r="H547085" s="7"/>
    </row>
    <row r="547428" spans="8:8" x14ac:dyDescent="0.25">
      <c r="H547428" s="7"/>
    </row>
    <row r="547771" spans="8:8" x14ac:dyDescent="0.25">
      <c r="H547771" s="7"/>
    </row>
    <row r="548114" spans="8:8" x14ac:dyDescent="0.25">
      <c r="H548114" s="7"/>
    </row>
    <row r="548457" spans="8:8" x14ac:dyDescent="0.25">
      <c r="H548457" s="7"/>
    </row>
    <row r="548800" spans="8:8" x14ac:dyDescent="0.25">
      <c r="H548800" s="7"/>
    </row>
    <row r="549143" spans="8:8" x14ac:dyDescent="0.25">
      <c r="H549143" s="7"/>
    </row>
    <row r="549486" spans="8:8" x14ac:dyDescent="0.25">
      <c r="H549486" s="7"/>
    </row>
    <row r="549829" spans="8:8" x14ac:dyDescent="0.25">
      <c r="H549829" s="7"/>
    </row>
    <row r="550172" spans="8:8" x14ac:dyDescent="0.25">
      <c r="H550172" s="7"/>
    </row>
    <row r="550515" spans="8:8" x14ac:dyDescent="0.25">
      <c r="H550515" s="7"/>
    </row>
    <row r="550858" spans="8:8" x14ac:dyDescent="0.25">
      <c r="H550858" s="7"/>
    </row>
    <row r="551201" spans="8:8" x14ac:dyDescent="0.25">
      <c r="H551201" s="7"/>
    </row>
    <row r="551544" spans="8:8" x14ac:dyDescent="0.25">
      <c r="H551544" s="7"/>
    </row>
    <row r="551887" spans="8:8" x14ac:dyDescent="0.25">
      <c r="H551887" s="7"/>
    </row>
    <row r="552230" spans="8:8" x14ac:dyDescent="0.25">
      <c r="H552230" s="7"/>
    </row>
    <row r="552573" spans="8:8" x14ac:dyDescent="0.25">
      <c r="H552573" s="7"/>
    </row>
    <row r="552916" spans="8:8" x14ac:dyDescent="0.25">
      <c r="H552916" s="7"/>
    </row>
    <row r="553259" spans="8:8" x14ac:dyDescent="0.25">
      <c r="H553259" s="7"/>
    </row>
    <row r="553602" spans="8:8" x14ac:dyDescent="0.25">
      <c r="H553602" s="7"/>
    </row>
    <row r="553945" spans="8:8" x14ac:dyDescent="0.25">
      <c r="H553945" s="7"/>
    </row>
    <row r="554288" spans="8:8" x14ac:dyDescent="0.25">
      <c r="H554288" s="7"/>
    </row>
    <row r="554631" spans="8:8" x14ac:dyDescent="0.25">
      <c r="H554631" s="7"/>
    </row>
    <row r="554974" spans="8:8" x14ac:dyDescent="0.25">
      <c r="H554974" s="7"/>
    </row>
    <row r="555317" spans="8:8" x14ac:dyDescent="0.25">
      <c r="H555317" s="7"/>
    </row>
    <row r="555660" spans="8:8" x14ac:dyDescent="0.25">
      <c r="H555660" s="7"/>
    </row>
    <row r="556003" spans="8:8" x14ac:dyDescent="0.25">
      <c r="H556003" s="7"/>
    </row>
    <row r="556346" spans="8:8" x14ac:dyDescent="0.25">
      <c r="H556346" s="7"/>
    </row>
    <row r="556689" spans="8:8" x14ac:dyDescent="0.25">
      <c r="H556689" s="7"/>
    </row>
    <row r="557032" spans="8:8" x14ac:dyDescent="0.25">
      <c r="H557032" s="7"/>
    </row>
    <row r="557375" spans="8:8" x14ac:dyDescent="0.25">
      <c r="H557375" s="7"/>
    </row>
    <row r="557718" spans="8:8" x14ac:dyDescent="0.25">
      <c r="H557718" s="7"/>
    </row>
    <row r="558061" spans="8:8" x14ac:dyDescent="0.25">
      <c r="H558061" s="7"/>
    </row>
    <row r="558404" spans="8:8" x14ac:dyDescent="0.25">
      <c r="H558404" s="7"/>
    </row>
    <row r="558747" spans="8:8" x14ac:dyDescent="0.25">
      <c r="H558747" s="7"/>
    </row>
    <row r="559090" spans="8:8" x14ac:dyDescent="0.25">
      <c r="H559090" s="7"/>
    </row>
    <row r="559433" spans="8:8" x14ac:dyDescent="0.25">
      <c r="H559433" s="7"/>
    </row>
    <row r="559776" spans="8:8" x14ac:dyDescent="0.25">
      <c r="H559776" s="7"/>
    </row>
    <row r="560119" spans="8:8" x14ac:dyDescent="0.25">
      <c r="H560119" s="7"/>
    </row>
    <row r="560462" spans="8:8" x14ac:dyDescent="0.25">
      <c r="H560462" s="7"/>
    </row>
    <row r="560805" spans="8:8" x14ac:dyDescent="0.25">
      <c r="H560805" s="7"/>
    </row>
    <row r="561148" spans="8:8" x14ac:dyDescent="0.25">
      <c r="H561148" s="7"/>
    </row>
    <row r="561491" spans="8:8" x14ac:dyDescent="0.25">
      <c r="H561491" s="7"/>
    </row>
    <row r="561834" spans="8:8" x14ac:dyDescent="0.25">
      <c r="H561834" s="7"/>
    </row>
    <row r="562177" spans="8:8" x14ac:dyDescent="0.25">
      <c r="H562177" s="7"/>
    </row>
    <row r="562520" spans="8:8" x14ac:dyDescent="0.25">
      <c r="H562520" s="7"/>
    </row>
    <row r="562863" spans="8:8" x14ac:dyDescent="0.25">
      <c r="H562863" s="7"/>
    </row>
    <row r="563206" spans="8:8" x14ac:dyDescent="0.25">
      <c r="H563206" s="7"/>
    </row>
    <row r="563549" spans="8:8" x14ac:dyDescent="0.25">
      <c r="H563549" s="7"/>
    </row>
    <row r="563892" spans="8:8" x14ac:dyDescent="0.25">
      <c r="H563892" s="7"/>
    </row>
    <row r="564235" spans="8:8" x14ac:dyDescent="0.25">
      <c r="H564235" s="7"/>
    </row>
    <row r="564578" spans="8:8" x14ac:dyDescent="0.25">
      <c r="H564578" s="7"/>
    </row>
    <row r="564921" spans="8:8" x14ac:dyDescent="0.25">
      <c r="H564921" s="7"/>
    </row>
    <row r="565264" spans="8:8" x14ac:dyDescent="0.25">
      <c r="H565264" s="7"/>
    </row>
    <row r="565607" spans="8:8" x14ac:dyDescent="0.25">
      <c r="H565607" s="7"/>
    </row>
    <row r="565950" spans="8:8" x14ac:dyDescent="0.25">
      <c r="H565950" s="7"/>
    </row>
    <row r="566293" spans="8:8" x14ac:dyDescent="0.25">
      <c r="H566293" s="7"/>
    </row>
    <row r="566636" spans="8:8" x14ac:dyDescent="0.25">
      <c r="H566636" s="7"/>
    </row>
    <row r="566979" spans="8:8" x14ac:dyDescent="0.25">
      <c r="H566979" s="7"/>
    </row>
    <row r="567322" spans="8:8" x14ac:dyDescent="0.25">
      <c r="H567322" s="7"/>
    </row>
    <row r="567665" spans="8:8" x14ac:dyDescent="0.25">
      <c r="H567665" s="7"/>
    </row>
    <row r="568008" spans="8:8" x14ac:dyDescent="0.25">
      <c r="H568008" s="7"/>
    </row>
    <row r="568351" spans="8:8" x14ac:dyDescent="0.25">
      <c r="H568351" s="7"/>
    </row>
    <row r="568694" spans="8:8" x14ac:dyDescent="0.25">
      <c r="H568694" s="7"/>
    </row>
    <row r="569037" spans="8:8" x14ac:dyDescent="0.25">
      <c r="H569037" s="7"/>
    </row>
    <row r="569380" spans="8:8" x14ac:dyDescent="0.25">
      <c r="H569380" s="7"/>
    </row>
    <row r="569723" spans="8:8" x14ac:dyDescent="0.25">
      <c r="H569723" s="7"/>
    </row>
    <row r="570066" spans="8:8" x14ac:dyDescent="0.25">
      <c r="H570066" s="7"/>
    </row>
    <row r="570409" spans="8:8" x14ac:dyDescent="0.25">
      <c r="H570409" s="7"/>
    </row>
    <row r="570752" spans="8:8" x14ac:dyDescent="0.25">
      <c r="H570752" s="7"/>
    </row>
    <row r="571095" spans="8:8" x14ac:dyDescent="0.25">
      <c r="H571095" s="7"/>
    </row>
    <row r="571438" spans="8:8" x14ac:dyDescent="0.25">
      <c r="H571438" s="7"/>
    </row>
    <row r="571781" spans="8:8" x14ac:dyDescent="0.25">
      <c r="H571781" s="7"/>
    </row>
    <row r="572124" spans="8:8" x14ac:dyDescent="0.25">
      <c r="H572124" s="7"/>
    </row>
    <row r="572467" spans="8:8" x14ac:dyDescent="0.25">
      <c r="H572467" s="7"/>
    </row>
    <row r="572810" spans="8:8" x14ac:dyDescent="0.25">
      <c r="H572810" s="7"/>
    </row>
    <row r="573153" spans="8:8" x14ac:dyDescent="0.25">
      <c r="H573153" s="7"/>
    </row>
    <row r="573496" spans="8:8" x14ac:dyDescent="0.25">
      <c r="H573496" s="7"/>
    </row>
    <row r="573839" spans="8:8" x14ac:dyDescent="0.25">
      <c r="H573839" s="7"/>
    </row>
    <row r="574182" spans="8:8" x14ac:dyDescent="0.25">
      <c r="H574182" s="7"/>
    </row>
    <row r="574525" spans="8:8" x14ac:dyDescent="0.25">
      <c r="H574525" s="7"/>
    </row>
    <row r="574868" spans="8:8" x14ac:dyDescent="0.25">
      <c r="H574868" s="7"/>
    </row>
    <row r="575211" spans="8:8" x14ac:dyDescent="0.25">
      <c r="H575211" s="7"/>
    </row>
    <row r="575554" spans="8:8" x14ac:dyDescent="0.25">
      <c r="H575554" s="7"/>
    </row>
    <row r="575897" spans="8:8" x14ac:dyDescent="0.25">
      <c r="H575897" s="7"/>
    </row>
    <row r="576240" spans="8:8" x14ac:dyDescent="0.25">
      <c r="H576240" s="7"/>
    </row>
    <row r="576583" spans="8:8" x14ac:dyDescent="0.25">
      <c r="H576583" s="7"/>
    </row>
    <row r="576926" spans="8:8" x14ac:dyDescent="0.25">
      <c r="H576926" s="7"/>
    </row>
    <row r="577269" spans="8:8" x14ac:dyDescent="0.25">
      <c r="H577269" s="7"/>
    </row>
    <row r="577612" spans="8:8" x14ac:dyDescent="0.25">
      <c r="H577612" s="7"/>
    </row>
    <row r="577955" spans="8:8" x14ac:dyDescent="0.25">
      <c r="H577955" s="7"/>
    </row>
    <row r="578298" spans="8:8" x14ac:dyDescent="0.25">
      <c r="H578298" s="7"/>
    </row>
    <row r="578641" spans="8:8" x14ac:dyDescent="0.25">
      <c r="H578641" s="7"/>
    </row>
    <row r="578984" spans="8:8" x14ac:dyDescent="0.25">
      <c r="H578984" s="7"/>
    </row>
    <row r="579327" spans="8:8" x14ac:dyDescent="0.25">
      <c r="H579327" s="7"/>
    </row>
    <row r="579670" spans="8:8" x14ac:dyDescent="0.25">
      <c r="H579670" s="7"/>
    </row>
    <row r="580013" spans="8:8" x14ac:dyDescent="0.25">
      <c r="H580013" s="7"/>
    </row>
    <row r="580356" spans="8:8" x14ac:dyDescent="0.25">
      <c r="H580356" s="7"/>
    </row>
    <row r="580699" spans="8:8" x14ac:dyDescent="0.25">
      <c r="H580699" s="7"/>
    </row>
    <row r="581042" spans="8:8" x14ac:dyDescent="0.25">
      <c r="H581042" s="7"/>
    </row>
    <row r="581385" spans="8:8" x14ac:dyDescent="0.25">
      <c r="H581385" s="7"/>
    </row>
    <row r="581728" spans="8:8" x14ac:dyDescent="0.25">
      <c r="H581728" s="7"/>
    </row>
    <row r="582071" spans="8:8" x14ac:dyDescent="0.25">
      <c r="H582071" s="7"/>
    </row>
    <row r="582414" spans="8:8" x14ac:dyDescent="0.25">
      <c r="H582414" s="7"/>
    </row>
    <row r="582757" spans="8:8" x14ac:dyDescent="0.25">
      <c r="H582757" s="7"/>
    </row>
    <row r="583100" spans="8:8" x14ac:dyDescent="0.25">
      <c r="H583100" s="7"/>
    </row>
    <row r="583443" spans="8:8" x14ac:dyDescent="0.25">
      <c r="H583443" s="7"/>
    </row>
    <row r="583786" spans="8:8" x14ac:dyDescent="0.25">
      <c r="H583786" s="7"/>
    </row>
    <row r="584129" spans="8:8" x14ac:dyDescent="0.25">
      <c r="H584129" s="7"/>
    </row>
    <row r="584472" spans="8:8" x14ac:dyDescent="0.25">
      <c r="H584472" s="7"/>
    </row>
    <row r="584815" spans="8:8" x14ac:dyDescent="0.25">
      <c r="H584815" s="7"/>
    </row>
    <row r="585158" spans="8:8" x14ac:dyDescent="0.25">
      <c r="H585158" s="7"/>
    </row>
    <row r="585501" spans="8:8" x14ac:dyDescent="0.25">
      <c r="H585501" s="7"/>
    </row>
    <row r="585844" spans="8:8" x14ac:dyDescent="0.25">
      <c r="H585844" s="7"/>
    </row>
    <row r="586187" spans="8:8" x14ac:dyDescent="0.25">
      <c r="H586187" s="7"/>
    </row>
    <row r="586530" spans="8:8" x14ac:dyDescent="0.25">
      <c r="H586530" s="7"/>
    </row>
    <row r="586873" spans="8:8" x14ac:dyDescent="0.25">
      <c r="H586873" s="7"/>
    </row>
    <row r="587216" spans="8:8" x14ac:dyDescent="0.25">
      <c r="H587216" s="7"/>
    </row>
    <row r="587559" spans="8:8" x14ac:dyDescent="0.25">
      <c r="H587559" s="7"/>
    </row>
    <row r="587902" spans="8:8" x14ac:dyDescent="0.25">
      <c r="H587902" s="7"/>
    </row>
    <row r="588245" spans="8:8" x14ac:dyDescent="0.25">
      <c r="H588245" s="7"/>
    </row>
    <row r="588588" spans="8:8" x14ac:dyDescent="0.25">
      <c r="H588588" s="7"/>
    </row>
    <row r="588931" spans="8:8" x14ac:dyDescent="0.25">
      <c r="H588931" s="7"/>
    </row>
    <row r="589274" spans="8:8" x14ac:dyDescent="0.25">
      <c r="H589274" s="7"/>
    </row>
    <row r="589617" spans="8:8" x14ac:dyDescent="0.25">
      <c r="H589617" s="7"/>
    </row>
    <row r="589960" spans="8:8" x14ac:dyDescent="0.25">
      <c r="H589960" s="7"/>
    </row>
    <row r="590303" spans="8:8" x14ac:dyDescent="0.25">
      <c r="H590303" s="7"/>
    </row>
    <row r="590646" spans="8:8" x14ac:dyDescent="0.25">
      <c r="H590646" s="7"/>
    </row>
    <row r="590989" spans="8:8" x14ac:dyDescent="0.25">
      <c r="H590989" s="7"/>
    </row>
    <row r="591332" spans="8:8" x14ac:dyDescent="0.25">
      <c r="H591332" s="7"/>
    </row>
    <row r="591675" spans="8:8" x14ac:dyDescent="0.25">
      <c r="H591675" s="7"/>
    </row>
    <row r="592018" spans="8:8" x14ac:dyDescent="0.25">
      <c r="H592018" s="7"/>
    </row>
    <row r="592361" spans="8:8" x14ac:dyDescent="0.25">
      <c r="H592361" s="7"/>
    </row>
    <row r="592704" spans="8:8" x14ac:dyDescent="0.25">
      <c r="H592704" s="7"/>
    </row>
    <row r="593047" spans="8:8" x14ac:dyDescent="0.25">
      <c r="H593047" s="7"/>
    </row>
    <row r="593390" spans="8:8" x14ac:dyDescent="0.25">
      <c r="H593390" s="7"/>
    </row>
    <row r="593733" spans="8:8" x14ac:dyDescent="0.25">
      <c r="H593733" s="7"/>
    </row>
    <row r="594076" spans="8:8" x14ac:dyDescent="0.25">
      <c r="H594076" s="7"/>
    </row>
    <row r="594419" spans="8:8" x14ac:dyDescent="0.25">
      <c r="H594419" s="7"/>
    </row>
    <row r="594762" spans="8:8" x14ac:dyDescent="0.25">
      <c r="H594762" s="7"/>
    </row>
    <row r="595105" spans="8:8" x14ac:dyDescent="0.25">
      <c r="H595105" s="7"/>
    </row>
    <row r="595448" spans="8:8" x14ac:dyDescent="0.25">
      <c r="H595448" s="7"/>
    </row>
    <row r="595791" spans="8:8" x14ac:dyDescent="0.25">
      <c r="H595791" s="7"/>
    </row>
    <row r="596134" spans="8:8" x14ac:dyDescent="0.25">
      <c r="H596134" s="7"/>
    </row>
    <row r="596477" spans="8:8" x14ac:dyDescent="0.25">
      <c r="H596477" s="7"/>
    </row>
    <row r="596820" spans="8:8" x14ac:dyDescent="0.25">
      <c r="H596820" s="7"/>
    </row>
    <row r="597163" spans="8:8" x14ac:dyDescent="0.25">
      <c r="H597163" s="7"/>
    </row>
    <row r="597506" spans="8:8" x14ac:dyDescent="0.25">
      <c r="H597506" s="7"/>
    </row>
    <row r="597849" spans="8:8" x14ac:dyDescent="0.25">
      <c r="H597849" s="7"/>
    </row>
    <row r="598192" spans="8:8" x14ac:dyDescent="0.25">
      <c r="H598192" s="7"/>
    </row>
    <row r="598535" spans="8:8" x14ac:dyDescent="0.25">
      <c r="H598535" s="7"/>
    </row>
    <row r="598878" spans="8:8" x14ac:dyDescent="0.25">
      <c r="H598878" s="7"/>
    </row>
    <row r="599221" spans="8:8" x14ac:dyDescent="0.25">
      <c r="H599221" s="7"/>
    </row>
    <row r="599564" spans="8:8" x14ac:dyDescent="0.25">
      <c r="H599564" s="7"/>
    </row>
    <row r="599907" spans="8:8" x14ac:dyDescent="0.25">
      <c r="H599907" s="7"/>
    </row>
    <row r="600250" spans="8:8" x14ac:dyDescent="0.25">
      <c r="H600250" s="7"/>
    </row>
    <row r="600593" spans="8:8" x14ac:dyDescent="0.25">
      <c r="H600593" s="7"/>
    </row>
    <row r="600936" spans="8:8" x14ac:dyDescent="0.25">
      <c r="H600936" s="7"/>
    </row>
    <row r="601279" spans="8:8" x14ac:dyDescent="0.25">
      <c r="H601279" s="7"/>
    </row>
    <row r="601622" spans="8:8" x14ac:dyDescent="0.25">
      <c r="H601622" s="7"/>
    </row>
    <row r="601965" spans="8:8" x14ac:dyDescent="0.25">
      <c r="H601965" s="7"/>
    </row>
    <row r="602308" spans="8:8" x14ac:dyDescent="0.25">
      <c r="H602308" s="7"/>
    </row>
    <row r="602651" spans="8:8" x14ac:dyDescent="0.25">
      <c r="H602651" s="7"/>
    </row>
    <row r="602994" spans="8:8" x14ac:dyDescent="0.25">
      <c r="H602994" s="7"/>
    </row>
    <row r="603337" spans="8:8" x14ac:dyDescent="0.25">
      <c r="H603337" s="7"/>
    </row>
    <row r="603680" spans="8:8" x14ac:dyDescent="0.25">
      <c r="H603680" s="7"/>
    </row>
    <row r="604023" spans="8:8" x14ac:dyDescent="0.25">
      <c r="H604023" s="7"/>
    </row>
    <row r="604366" spans="8:8" x14ac:dyDescent="0.25">
      <c r="H604366" s="7"/>
    </row>
    <row r="604709" spans="8:8" x14ac:dyDescent="0.25">
      <c r="H604709" s="7"/>
    </row>
    <row r="605052" spans="8:8" x14ac:dyDescent="0.25">
      <c r="H605052" s="7"/>
    </row>
    <row r="605395" spans="8:8" x14ac:dyDescent="0.25">
      <c r="H605395" s="7"/>
    </row>
    <row r="605738" spans="8:8" x14ac:dyDescent="0.25">
      <c r="H605738" s="7"/>
    </row>
    <row r="606081" spans="8:8" x14ac:dyDescent="0.25">
      <c r="H606081" s="7"/>
    </row>
    <row r="606424" spans="8:8" x14ac:dyDescent="0.25">
      <c r="H606424" s="7"/>
    </row>
    <row r="606767" spans="8:8" x14ac:dyDescent="0.25">
      <c r="H606767" s="7"/>
    </row>
    <row r="607110" spans="8:8" x14ac:dyDescent="0.25">
      <c r="H607110" s="7"/>
    </row>
    <row r="607453" spans="8:8" x14ac:dyDescent="0.25">
      <c r="H607453" s="7"/>
    </row>
    <row r="607796" spans="8:8" x14ac:dyDescent="0.25">
      <c r="H607796" s="7"/>
    </row>
    <row r="608139" spans="8:8" x14ac:dyDescent="0.25">
      <c r="H608139" s="7"/>
    </row>
    <row r="608482" spans="8:8" x14ac:dyDescent="0.25">
      <c r="H608482" s="7"/>
    </row>
    <row r="608825" spans="8:8" x14ac:dyDescent="0.25">
      <c r="H608825" s="7"/>
    </row>
    <row r="609168" spans="8:8" x14ac:dyDescent="0.25">
      <c r="H609168" s="7"/>
    </row>
    <row r="609511" spans="8:8" x14ac:dyDescent="0.25">
      <c r="H609511" s="7"/>
    </row>
    <row r="609854" spans="8:8" x14ac:dyDescent="0.25">
      <c r="H609854" s="7"/>
    </row>
    <row r="610197" spans="8:8" x14ac:dyDescent="0.25">
      <c r="H610197" s="7"/>
    </row>
    <row r="610540" spans="8:8" x14ac:dyDescent="0.25">
      <c r="H610540" s="7"/>
    </row>
    <row r="610883" spans="8:8" x14ac:dyDescent="0.25">
      <c r="H610883" s="7"/>
    </row>
    <row r="611226" spans="8:8" x14ac:dyDescent="0.25">
      <c r="H611226" s="7"/>
    </row>
    <row r="611569" spans="8:8" x14ac:dyDescent="0.25">
      <c r="H611569" s="7"/>
    </row>
    <row r="611912" spans="8:8" x14ac:dyDescent="0.25">
      <c r="H611912" s="7"/>
    </row>
    <row r="612255" spans="8:8" x14ac:dyDescent="0.25">
      <c r="H612255" s="7"/>
    </row>
    <row r="612598" spans="8:8" x14ac:dyDescent="0.25">
      <c r="H612598" s="7"/>
    </row>
    <row r="612941" spans="8:8" x14ac:dyDescent="0.25">
      <c r="H612941" s="7"/>
    </row>
    <row r="613284" spans="8:8" x14ac:dyDescent="0.25">
      <c r="H613284" s="7"/>
    </row>
    <row r="613627" spans="8:8" x14ac:dyDescent="0.25">
      <c r="H613627" s="7"/>
    </row>
    <row r="613970" spans="8:8" x14ac:dyDescent="0.25">
      <c r="H613970" s="7"/>
    </row>
    <row r="614313" spans="8:8" x14ac:dyDescent="0.25">
      <c r="H614313" s="7"/>
    </row>
    <row r="614656" spans="8:8" x14ac:dyDescent="0.25">
      <c r="H614656" s="7"/>
    </row>
    <row r="614999" spans="8:8" x14ac:dyDescent="0.25">
      <c r="H614999" s="7"/>
    </row>
    <row r="615342" spans="8:8" x14ac:dyDescent="0.25">
      <c r="H615342" s="7"/>
    </row>
    <row r="615685" spans="8:8" x14ac:dyDescent="0.25">
      <c r="H615685" s="7"/>
    </row>
    <row r="616028" spans="8:8" x14ac:dyDescent="0.25">
      <c r="H616028" s="7"/>
    </row>
    <row r="616371" spans="8:8" x14ac:dyDescent="0.25">
      <c r="H616371" s="7"/>
    </row>
    <row r="616714" spans="8:8" x14ac:dyDescent="0.25">
      <c r="H616714" s="7"/>
    </row>
    <row r="617057" spans="8:8" x14ac:dyDescent="0.25">
      <c r="H617057" s="7"/>
    </row>
    <row r="617400" spans="8:8" x14ac:dyDescent="0.25">
      <c r="H617400" s="7"/>
    </row>
    <row r="617743" spans="8:8" x14ac:dyDescent="0.25">
      <c r="H617743" s="7"/>
    </row>
    <row r="618086" spans="8:8" x14ac:dyDescent="0.25">
      <c r="H618086" s="7"/>
    </row>
    <row r="618429" spans="8:8" x14ac:dyDescent="0.25">
      <c r="H618429" s="7"/>
    </row>
    <row r="618772" spans="8:8" x14ac:dyDescent="0.25">
      <c r="H618772" s="7"/>
    </row>
    <row r="619115" spans="8:8" x14ac:dyDescent="0.25">
      <c r="H619115" s="7"/>
    </row>
    <row r="619458" spans="8:8" x14ac:dyDescent="0.25">
      <c r="H619458" s="7"/>
    </row>
    <row r="619801" spans="8:8" x14ac:dyDescent="0.25">
      <c r="H619801" s="7"/>
    </row>
    <row r="620144" spans="8:8" x14ac:dyDescent="0.25">
      <c r="H620144" s="7"/>
    </row>
    <row r="620487" spans="8:8" x14ac:dyDescent="0.25">
      <c r="H620487" s="7"/>
    </row>
    <row r="620830" spans="8:8" x14ac:dyDescent="0.25">
      <c r="H620830" s="7"/>
    </row>
    <row r="621173" spans="8:8" x14ac:dyDescent="0.25">
      <c r="H621173" s="7"/>
    </row>
    <row r="621516" spans="8:8" x14ac:dyDescent="0.25">
      <c r="H621516" s="7"/>
    </row>
    <row r="621859" spans="8:8" x14ac:dyDescent="0.25">
      <c r="H621859" s="7"/>
    </row>
    <row r="622202" spans="8:8" x14ac:dyDescent="0.25">
      <c r="H622202" s="7"/>
    </row>
    <row r="622545" spans="8:8" x14ac:dyDescent="0.25">
      <c r="H622545" s="7"/>
    </row>
    <row r="622888" spans="8:8" x14ac:dyDescent="0.25">
      <c r="H622888" s="7"/>
    </row>
    <row r="623231" spans="8:8" x14ac:dyDescent="0.25">
      <c r="H623231" s="7"/>
    </row>
    <row r="623574" spans="8:8" x14ac:dyDescent="0.25">
      <c r="H623574" s="7"/>
    </row>
    <row r="623917" spans="8:8" x14ac:dyDescent="0.25">
      <c r="H623917" s="7"/>
    </row>
    <row r="624260" spans="8:8" x14ac:dyDescent="0.25">
      <c r="H624260" s="7"/>
    </row>
    <row r="624603" spans="8:8" x14ac:dyDescent="0.25">
      <c r="H624603" s="7"/>
    </row>
    <row r="624946" spans="8:8" x14ac:dyDescent="0.25">
      <c r="H624946" s="7"/>
    </row>
    <row r="625289" spans="8:8" x14ac:dyDescent="0.25">
      <c r="H625289" s="7"/>
    </row>
    <row r="625632" spans="8:8" x14ac:dyDescent="0.25">
      <c r="H625632" s="7"/>
    </row>
    <row r="625975" spans="8:8" x14ac:dyDescent="0.25">
      <c r="H625975" s="7"/>
    </row>
    <row r="626318" spans="8:8" x14ac:dyDescent="0.25">
      <c r="H626318" s="7"/>
    </row>
    <row r="626661" spans="8:8" x14ac:dyDescent="0.25">
      <c r="H626661" s="7"/>
    </row>
    <row r="627004" spans="8:8" x14ac:dyDescent="0.25">
      <c r="H627004" s="7"/>
    </row>
    <row r="627347" spans="8:8" x14ac:dyDescent="0.25">
      <c r="H627347" s="7"/>
    </row>
    <row r="627690" spans="8:8" x14ac:dyDescent="0.25">
      <c r="H627690" s="7"/>
    </row>
    <row r="628033" spans="8:8" x14ac:dyDescent="0.25">
      <c r="H628033" s="7"/>
    </row>
    <row r="628376" spans="8:8" x14ac:dyDescent="0.25">
      <c r="H628376" s="7"/>
    </row>
    <row r="628719" spans="8:8" x14ac:dyDescent="0.25">
      <c r="H628719" s="7"/>
    </row>
    <row r="629062" spans="8:8" x14ac:dyDescent="0.25">
      <c r="H629062" s="7"/>
    </row>
    <row r="629405" spans="8:8" x14ac:dyDescent="0.25">
      <c r="H629405" s="7"/>
    </row>
    <row r="629748" spans="8:8" x14ac:dyDescent="0.25">
      <c r="H629748" s="7"/>
    </row>
    <row r="630091" spans="8:8" x14ac:dyDescent="0.25">
      <c r="H630091" s="7"/>
    </row>
    <row r="630434" spans="8:8" x14ac:dyDescent="0.25">
      <c r="H630434" s="7"/>
    </row>
    <row r="630777" spans="8:8" x14ac:dyDescent="0.25">
      <c r="H630777" s="7"/>
    </row>
    <row r="631120" spans="8:8" x14ac:dyDescent="0.25">
      <c r="H631120" s="7"/>
    </row>
    <row r="631463" spans="8:8" x14ac:dyDescent="0.25">
      <c r="H631463" s="7"/>
    </row>
    <row r="631806" spans="8:8" x14ac:dyDescent="0.25">
      <c r="H631806" s="7"/>
    </row>
    <row r="632149" spans="8:8" x14ac:dyDescent="0.25">
      <c r="H632149" s="7"/>
    </row>
    <row r="632492" spans="8:8" x14ac:dyDescent="0.25">
      <c r="H632492" s="7"/>
    </row>
    <row r="632835" spans="8:8" x14ac:dyDescent="0.25">
      <c r="H632835" s="7"/>
    </row>
    <row r="633178" spans="8:8" x14ac:dyDescent="0.25">
      <c r="H633178" s="7"/>
    </row>
    <row r="633521" spans="8:8" x14ac:dyDescent="0.25">
      <c r="H633521" s="7"/>
    </row>
    <row r="633864" spans="8:8" x14ac:dyDescent="0.25">
      <c r="H633864" s="7"/>
    </row>
    <row r="634207" spans="8:8" x14ac:dyDescent="0.25">
      <c r="H634207" s="7"/>
    </row>
    <row r="634550" spans="8:8" x14ac:dyDescent="0.25">
      <c r="H634550" s="7"/>
    </row>
    <row r="634893" spans="8:8" x14ac:dyDescent="0.25">
      <c r="H634893" s="7"/>
    </row>
    <row r="635236" spans="8:8" x14ac:dyDescent="0.25">
      <c r="H635236" s="7"/>
    </row>
    <row r="635579" spans="8:8" x14ac:dyDescent="0.25">
      <c r="H635579" s="7"/>
    </row>
    <row r="635922" spans="8:8" x14ac:dyDescent="0.25">
      <c r="H635922" s="7"/>
    </row>
    <row r="636265" spans="8:8" x14ac:dyDescent="0.25">
      <c r="H636265" s="7"/>
    </row>
    <row r="636608" spans="8:8" x14ac:dyDescent="0.25">
      <c r="H636608" s="7"/>
    </row>
    <row r="636951" spans="8:8" x14ac:dyDescent="0.25">
      <c r="H636951" s="7"/>
    </row>
    <row r="637294" spans="8:8" x14ac:dyDescent="0.25">
      <c r="H637294" s="7"/>
    </row>
    <row r="637637" spans="8:8" x14ac:dyDescent="0.25">
      <c r="H637637" s="7"/>
    </row>
    <row r="637980" spans="8:8" x14ac:dyDescent="0.25">
      <c r="H637980" s="7"/>
    </row>
    <row r="638323" spans="8:8" x14ac:dyDescent="0.25">
      <c r="H638323" s="7"/>
    </row>
    <row r="638666" spans="8:8" x14ac:dyDescent="0.25">
      <c r="H638666" s="7"/>
    </row>
    <row r="639009" spans="8:8" x14ac:dyDescent="0.25">
      <c r="H639009" s="7"/>
    </row>
    <row r="639352" spans="8:8" x14ac:dyDescent="0.25">
      <c r="H639352" s="7"/>
    </row>
    <row r="639695" spans="8:8" x14ac:dyDescent="0.25">
      <c r="H639695" s="7"/>
    </row>
    <row r="640038" spans="8:8" x14ac:dyDescent="0.25">
      <c r="H640038" s="7"/>
    </row>
    <row r="640381" spans="8:8" x14ac:dyDescent="0.25">
      <c r="H640381" s="7"/>
    </row>
    <row r="640724" spans="8:8" x14ac:dyDescent="0.25">
      <c r="H640724" s="7"/>
    </row>
    <row r="641067" spans="8:8" x14ac:dyDescent="0.25">
      <c r="H641067" s="7"/>
    </row>
    <row r="641410" spans="8:8" x14ac:dyDescent="0.25">
      <c r="H641410" s="7"/>
    </row>
    <row r="641753" spans="8:8" x14ac:dyDescent="0.25">
      <c r="H641753" s="7"/>
    </row>
    <row r="642096" spans="8:8" x14ac:dyDescent="0.25">
      <c r="H642096" s="7"/>
    </row>
    <row r="642439" spans="8:8" x14ac:dyDescent="0.25">
      <c r="H642439" s="7"/>
    </row>
    <row r="642782" spans="8:8" x14ac:dyDescent="0.25">
      <c r="H642782" s="7"/>
    </row>
    <row r="643125" spans="8:8" x14ac:dyDescent="0.25">
      <c r="H643125" s="7"/>
    </row>
    <row r="643468" spans="8:8" x14ac:dyDescent="0.25">
      <c r="H643468" s="7"/>
    </row>
    <row r="643811" spans="8:8" x14ac:dyDescent="0.25">
      <c r="H643811" s="7"/>
    </row>
    <row r="644154" spans="8:8" x14ac:dyDescent="0.25">
      <c r="H644154" s="7"/>
    </row>
    <row r="644497" spans="8:8" x14ac:dyDescent="0.25">
      <c r="H644497" s="7"/>
    </row>
    <row r="644840" spans="8:8" x14ac:dyDescent="0.25">
      <c r="H644840" s="7"/>
    </row>
    <row r="645183" spans="8:8" x14ac:dyDescent="0.25">
      <c r="H645183" s="7"/>
    </row>
    <row r="645526" spans="8:8" x14ac:dyDescent="0.25">
      <c r="H645526" s="7"/>
    </row>
    <row r="645869" spans="8:8" x14ac:dyDescent="0.25">
      <c r="H645869" s="7"/>
    </row>
    <row r="646212" spans="8:8" x14ac:dyDescent="0.25">
      <c r="H646212" s="7"/>
    </row>
    <row r="646555" spans="8:8" x14ac:dyDescent="0.25">
      <c r="H646555" s="7"/>
    </row>
    <row r="646898" spans="8:8" x14ac:dyDescent="0.25">
      <c r="H646898" s="7"/>
    </row>
    <row r="647241" spans="8:8" x14ac:dyDescent="0.25">
      <c r="H647241" s="7"/>
    </row>
    <row r="647584" spans="8:8" x14ac:dyDescent="0.25">
      <c r="H647584" s="7"/>
    </row>
    <row r="647927" spans="8:8" x14ac:dyDescent="0.25">
      <c r="H647927" s="7"/>
    </row>
    <row r="648270" spans="8:8" x14ac:dyDescent="0.25">
      <c r="H648270" s="7"/>
    </row>
    <row r="648613" spans="8:8" x14ac:dyDescent="0.25">
      <c r="H648613" s="7"/>
    </row>
    <row r="648956" spans="8:8" x14ac:dyDescent="0.25">
      <c r="H648956" s="7"/>
    </row>
    <row r="649299" spans="8:8" x14ac:dyDescent="0.25">
      <c r="H649299" s="7"/>
    </row>
    <row r="649642" spans="8:8" x14ac:dyDescent="0.25">
      <c r="H649642" s="7"/>
    </row>
    <row r="649985" spans="8:8" x14ac:dyDescent="0.25">
      <c r="H649985" s="7"/>
    </row>
    <row r="650328" spans="8:8" x14ac:dyDescent="0.25">
      <c r="H650328" s="7"/>
    </row>
    <row r="650671" spans="8:8" x14ac:dyDescent="0.25">
      <c r="H650671" s="7"/>
    </row>
    <row r="651014" spans="8:8" x14ac:dyDescent="0.25">
      <c r="H651014" s="7"/>
    </row>
    <row r="651357" spans="8:8" x14ac:dyDescent="0.25">
      <c r="H651357" s="7"/>
    </row>
    <row r="651700" spans="8:8" x14ac:dyDescent="0.25">
      <c r="H651700" s="7"/>
    </row>
    <row r="652043" spans="8:8" x14ac:dyDescent="0.25">
      <c r="H652043" s="7"/>
    </row>
    <row r="652386" spans="8:8" x14ac:dyDescent="0.25">
      <c r="H652386" s="7"/>
    </row>
    <row r="652729" spans="8:8" x14ac:dyDescent="0.25">
      <c r="H652729" s="7"/>
    </row>
    <row r="653072" spans="8:8" x14ac:dyDescent="0.25">
      <c r="H653072" s="7"/>
    </row>
    <row r="653415" spans="8:8" x14ac:dyDescent="0.25">
      <c r="H653415" s="7"/>
    </row>
    <row r="653758" spans="8:8" x14ac:dyDescent="0.25">
      <c r="H653758" s="7"/>
    </row>
    <row r="654101" spans="8:8" x14ac:dyDescent="0.25">
      <c r="H654101" s="7"/>
    </row>
    <row r="654444" spans="8:8" x14ac:dyDescent="0.25">
      <c r="H654444" s="7"/>
    </row>
    <row r="654787" spans="8:8" x14ac:dyDescent="0.25">
      <c r="H654787" s="7"/>
    </row>
    <row r="655130" spans="8:8" x14ac:dyDescent="0.25">
      <c r="H655130" s="7"/>
    </row>
    <row r="655473" spans="8:8" x14ac:dyDescent="0.25">
      <c r="H655473" s="7"/>
    </row>
    <row r="655816" spans="8:8" x14ac:dyDescent="0.25">
      <c r="H655816" s="7"/>
    </row>
    <row r="656159" spans="8:8" x14ac:dyDescent="0.25">
      <c r="H656159" s="7"/>
    </row>
    <row r="656502" spans="8:8" x14ac:dyDescent="0.25">
      <c r="H656502" s="7"/>
    </row>
    <row r="656845" spans="8:8" x14ac:dyDescent="0.25">
      <c r="H656845" s="7"/>
    </row>
    <row r="657188" spans="8:8" x14ac:dyDescent="0.25">
      <c r="H657188" s="7"/>
    </row>
    <row r="657531" spans="8:8" x14ac:dyDescent="0.25">
      <c r="H657531" s="7"/>
    </row>
    <row r="657874" spans="8:8" x14ac:dyDescent="0.25">
      <c r="H657874" s="7"/>
    </row>
    <row r="658217" spans="8:8" x14ac:dyDescent="0.25">
      <c r="H658217" s="7"/>
    </row>
    <row r="658560" spans="8:8" x14ac:dyDescent="0.25">
      <c r="H658560" s="7"/>
    </row>
    <row r="658903" spans="8:8" x14ac:dyDescent="0.25">
      <c r="H658903" s="7"/>
    </row>
    <row r="659246" spans="8:8" x14ac:dyDescent="0.25">
      <c r="H659246" s="7"/>
    </row>
    <row r="659589" spans="8:8" x14ac:dyDescent="0.25">
      <c r="H659589" s="7"/>
    </row>
    <row r="659932" spans="8:8" x14ac:dyDescent="0.25">
      <c r="H659932" s="7"/>
    </row>
    <row r="660275" spans="8:8" x14ac:dyDescent="0.25">
      <c r="H660275" s="7"/>
    </row>
    <row r="660618" spans="8:8" x14ac:dyDescent="0.25">
      <c r="H660618" s="7"/>
    </row>
    <row r="660961" spans="8:8" x14ac:dyDescent="0.25">
      <c r="H660961" s="7"/>
    </row>
    <row r="661304" spans="8:8" x14ac:dyDescent="0.25">
      <c r="H661304" s="7"/>
    </row>
    <row r="661647" spans="8:8" x14ac:dyDescent="0.25">
      <c r="H661647" s="7"/>
    </row>
    <row r="661990" spans="8:8" x14ac:dyDescent="0.25">
      <c r="H661990" s="7"/>
    </row>
    <row r="662333" spans="8:8" x14ac:dyDescent="0.25">
      <c r="H662333" s="7"/>
    </row>
    <row r="662676" spans="8:8" x14ac:dyDescent="0.25">
      <c r="H662676" s="7"/>
    </row>
    <row r="663019" spans="8:8" x14ac:dyDescent="0.25">
      <c r="H663019" s="7"/>
    </row>
    <row r="663362" spans="8:8" x14ac:dyDescent="0.25">
      <c r="H663362" s="7"/>
    </row>
    <row r="663705" spans="8:8" x14ac:dyDescent="0.25">
      <c r="H663705" s="7"/>
    </row>
    <row r="664048" spans="8:8" x14ac:dyDescent="0.25">
      <c r="H664048" s="7"/>
    </row>
    <row r="664391" spans="8:8" x14ac:dyDescent="0.25">
      <c r="H664391" s="7"/>
    </row>
    <row r="664734" spans="8:8" x14ac:dyDescent="0.25">
      <c r="H664734" s="7"/>
    </row>
    <row r="665077" spans="8:8" x14ac:dyDescent="0.25">
      <c r="H665077" s="7"/>
    </row>
    <row r="665420" spans="8:8" x14ac:dyDescent="0.25">
      <c r="H665420" s="7"/>
    </row>
    <row r="665763" spans="8:8" x14ac:dyDescent="0.25">
      <c r="H665763" s="7"/>
    </row>
    <row r="666106" spans="8:8" x14ac:dyDescent="0.25">
      <c r="H666106" s="7"/>
    </row>
    <row r="666449" spans="8:8" x14ac:dyDescent="0.25">
      <c r="H666449" s="7"/>
    </row>
    <row r="666792" spans="8:8" x14ac:dyDescent="0.25">
      <c r="H666792" s="7"/>
    </row>
    <row r="667135" spans="8:8" x14ac:dyDescent="0.25">
      <c r="H667135" s="7"/>
    </row>
    <row r="667478" spans="8:8" x14ac:dyDescent="0.25">
      <c r="H667478" s="7"/>
    </row>
    <row r="667821" spans="8:8" x14ac:dyDescent="0.25">
      <c r="H667821" s="7"/>
    </row>
    <row r="668164" spans="8:8" x14ac:dyDescent="0.25">
      <c r="H668164" s="7"/>
    </row>
    <row r="668507" spans="8:8" x14ac:dyDescent="0.25">
      <c r="H668507" s="7"/>
    </row>
    <row r="668850" spans="8:8" x14ac:dyDescent="0.25">
      <c r="H668850" s="7"/>
    </row>
    <row r="669193" spans="8:8" x14ac:dyDescent="0.25">
      <c r="H669193" s="7"/>
    </row>
    <row r="669536" spans="8:8" x14ac:dyDescent="0.25">
      <c r="H669536" s="7"/>
    </row>
    <row r="669879" spans="8:8" x14ac:dyDescent="0.25">
      <c r="H669879" s="7"/>
    </row>
    <row r="670222" spans="8:8" x14ac:dyDescent="0.25">
      <c r="H670222" s="7"/>
    </row>
    <row r="670565" spans="8:8" x14ac:dyDescent="0.25">
      <c r="H670565" s="7"/>
    </row>
    <row r="670908" spans="8:8" x14ac:dyDescent="0.25">
      <c r="H670908" s="7"/>
    </row>
    <row r="671251" spans="8:8" x14ac:dyDescent="0.25">
      <c r="H671251" s="7"/>
    </row>
    <row r="671594" spans="8:8" x14ac:dyDescent="0.25">
      <c r="H671594" s="7"/>
    </row>
    <row r="671937" spans="8:8" x14ac:dyDescent="0.25">
      <c r="H671937" s="7"/>
    </row>
    <row r="672280" spans="8:8" x14ac:dyDescent="0.25">
      <c r="H672280" s="7"/>
    </row>
    <row r="672623" spans="8:8" x14ac:dyDescent="0.25">
      <c r="H672623" s="7"/>
    </row>
    <row r="672966" spans="8:8" x14ac:dyDescent="0.25">
      <c r="H672966" s="7"/>
    </row>
    <row r="673309" spans="8:8" x14ac:dyDescent="0.25">
      <c r="H673309" s="7"/>
    </row>
    <row r="673652" spans="8:8" x14ac:dyDescent="0.25">
      <c r="H673652" s="7"/>
    </row>
    <row r="673995" spans="8:8" x14ac:dyDescent="0.25">
      <c r="H673995" s="7"/>
    </row>
    <row r="674338" spans="8:8" x14ac:dyDescent="0.25">
      <c r="H674338" s="7"/>
    </row>
    <row r="674681" spans="8:8" x14ac:dyDescent="0.25">
      <c r="H674681" s="7"/>
    </row>
    <row r="675024" spans="8:8" x14ac:dyDescent="0.25">
      <c r="H675024" s="7"/>
    </row>
    <row r="675367" spans="8:8" x14ac:dyDescent="0.25">
      <c r="H675367" s="7"/>
    </row>
    <row r="675710" spans="8:8" x14ac:dyDescent="0.25">
      <c r="H675710" s="7"/>
    </row>
    <row r="676053" spans="8:8" x14ac:dyDescent="0.25">
      <c r="H676053" s="7"/>
    </row>
    <row r="676396" spans="8:8" x14ac:dyDescent="0.25">
      <c r="H676396" s="7"/>
    </row>
    <row r="676739" spans="8:8" x14ac:dyDescent="0.25">
      <c r="H676739" s="7"/>
    </row>
    <row r="677082" spans="8:8" x14ac:dyDescent="0.25">
      <c r="H677082" s="7"/>
    </row>
    <row r="677425" spans="8:8" x14ac:dyDescent="0.25">
      <c r="H677425" s="7"/>
    </row>
    <row r="677768" spans="8:8" x14ac:dyDescent="0.25">
      <c r="H677768" s="7"/>
    </row>
    <row r="678111" spans="8:8" x14ac:dyDescent="0.25">
      <c r="H678111" s="7"/>
    </row>
    <row r="678454" spans="8:8" x14ac:dyDescent="0.25">
      <c r="H678454" s="7"/>
    </row>
    <row r="678797" spans="8:8" x14ac:dyDescent="0.25">
      <c r="H678797" s="7"/>
    </row>
    <row r="679140" spans="8:8" x14ac:dyDescent="0.25">
      <c r="H679140" s="7"/>
    </row>
    <row r="679483" spans="8:8" x14ac:dyDescent="0.25">
      <c r="H679483" s="7"/>
    </row>
    <row r="679826" spans="8:8" x14ac:dyDescent="0.25">
      <c r="H679826" s="7"/>
    </row>
    <row r="680169" spans="8:8" x14ac:dyDescent="0.25">
      <c r="H680169" s="7"/>
    </row>
    <row r="680512" spans="8:8" x14ac:dyDescent="0.25">
      <c r="H680512" s="7"/>
    </row>
    <row r="680855" spans="8:8" x14ac:dyDescent="0.25">
      <c r="H680855" s="7"/>
    </row>
    <row r="681198" spans="8:8" x14ac:dyDescent="0.25">
      <c r="H681198" s="7"/>
    </row>
    <row r="681541" spans="8:8" x14ac:dyDescent="0.25">
      <c r="H681541" s="7"/>
    </row>
    <row r="681884" spans="8:8" x14ac:dyDescent="0.25">
      <c r="H681884" s="7"/>
    </row>
    <row r="682227" spans="8:8" x14ac:dyDescent="0.25">
      <c r="H682227" s="7"/>
    </row>
    <row r="682570" spans="8:8" x14ac:dyDescent="0.25">
      <c r="H682570" s="7"/>
    </row>
    <row r="682913" spans="8:8" x14ac:dyDescent="0.25">
      <c r="H682913" s="7"/>
    </row>
    <row r="683256" spans="8:8" x14ac:dyDescent="0.25">
      <c r="H683256" s="7"/>
    </row>
    <row r="683599" spans="8:8" x14ac:dyDescent="0.25">
      <c r="H683599" s="7"/>
    </row>
    <row r="683942" spans="8:8" x14ac:dyDescent="0.25">
      <c r="H683942" s="7"/>
    </row>
    <row r="684285" spans="8:8" x14ac:dyDescent="0.25">
      <c r="H684285" s="7"/>
    </row>
    <row r="684628" spans="8:8" x14ac:dyDescent="0.25">
      <c r="H684628" s="7"/>
    </row>
    <row r="684971" spans="8:8" x14ac:dyDescent="0.25">
      <c r="H684971" s="7"/>
    </row>
    <row r="685314" spans="8:8" x14ac:dyDescent="0.25">
      <c r="H685314" s="7"/>
    </row>
    <row r="685657" spans="8:8" x14ac:dyDescent="0.25">
      <c r="H685657" s="7"/>
    </row>
    <row r="686000" spans="8:8" x14ac:dyDescent="0.25">
      <c r="H686000" s="7"/>
    </row>
    <row r="686343" spans="8:8" x14ac:dyDescent="0.25">
      <c r="H686343" s="7"/>
    </row>
    <row r="686686" spans="8:8" x14ac:dyDescent="0.25">
      <c r="H686686" s="7"/>
    </row>
    <row r="687029" spans="8:8" x14ac:dyDescent="0.25">
      <c r="H687029" s="7"/>
    </row>
    <row r="687372" spans="8:8" x14ac:dyDescent="0.25">
      <c r="H687372" s="7"/>
    </row>
    <row r="687715" spans="8:8" x14ac:dyDescent="0.25">
      <c r="H687715" s="7"/>
    </row>
    <row r="688058" spans="8:8" x14ac:dyDescent="0.25">
      <c r="H688058" s="7"/>
    </row>
    <row r="688401" spans="8:8" x14ac:dyDescent="0.25">
      <c r="H688401" s="7"/>
    </row>
    <row r="688744" spans="8:8" x14ac:dyDescent="0.25">
      <c r="H688744" s="7"/>
    </row>
    <row r="689087" spans="8:8" x14ac:dyDescent="0.25">
      <c r="H689087" s="7"/>
    </row>
    <row r="689430" spans="8:8" x14ac:dyDescent="0.25">
      <c r="H689430" s="7"/>
    </row>
    <row r="689773" spans="8:8" x14ac:dyDescent="0.25">
      <c r="H689773" s="7"/>
    </row>
    <row r="690116" spans="8:8" x14ac:dyDescent="0.25">
      <c r="H690116" s="7"/>
    </row>
    <row r="690459" spans="8:8" x14ac:dyDescent="0.25">
      <c r="H690459" s="7"/>
    </row>
    <row r="690802" spans="8:8" x14ac:dyDescent="0.25">
      <c r="H690802" s="7"/>
    </row>
    <row r="691145" spans="8:8" x14ac:dyDescent="0.25">
      <c r="H691145" s="7"/>
    </row>
    <row r="691488" spans="8:8" x14ac:dyDescent="0.25">
      <c r="H691488" s="7"/>
    </row>
    <row r="691831" spans="8:8" x14ac:dyDescent="0.25">
      <c r="H691831" s="7"/>
    </row>
    <row r="692174" spans="8:8" x14ac:dyDescent="0.25">
      <c r="H692174" s="7"/>
    </row>
    <row r="692517" spans="8:8" x14ac:dyDescent="0.25">
      <c r="H692517" s="7"/>
    </row>
    <row r="692860" spans="8:8" x14ac:dyDescent="0.25">
      <c r="H692860" s="7"/>
    </row>
    <row r="693203" spans="8:8" x14ac:dyDescent="0.25">
      <c r="H693203" s="7"/>
    </row>
    <row r="693546" spans="8:8" x14ac:dyDescent="0.25">
      <c r="H693546" s="7"/>
    </row>
    <row r="693889" spans="8:8" x14ac:dyDescent="0.25">
      <c r="H693889" s="7"/>
    </row>
    <row r="694232" spans="8:8" x14ac:dyDescent="0.25">
      <c r="H694232" s="7"/>
    </row>
    <row r="694575" spans="8:8" x14ac:dyDescent="0.25">
      <c r="H694575" s="7"/>
    </row>
    <row r="694918" spans="8:8" x14ac:dyDescent="0.25">
      <c r="H694918" s="7"/>
    </row>
    <row r="695261" spans="8:8" x14ac:dyDescent="0.25">
      <c r="H695261" s="7"/>
    </row>
    <row r="695604" spans="8:8" x14ac:dyDescent="0.25">
      <c r="H695604" s="7"/>
    </row>
    <row r="695947" spans="8:8" x14ac:dyDescent="0.25">
      <c r="H695947" s="7"/>
    </row>
    <row r="696290" spans="8:8" x14ac:dyDescent="0.25">
      <c r="H696290" s="7"/>
    </row>
    <row r="696633" spans="8:8" x14ac:dyDescent="0.25">
      <c r="H696633" s="7"/>
    </row>
    <row r="696976" spans="8:8" x14ac:dyDescent="0.25">
      <c r="H696976" s="7"/>
    </row>
    <row r="697319" spans="8:8" x14ac:dyDescent="0.25">
      <c r="H697319" s="7"/>
    </row>
    <row r="697662" spans="8:8" x14ac:dyDescent="0.25">
      <c r="H697662" s="7"/>
    </row>
    <row r="698005" spans="8:8" x14ac:dyDescent="0.25">
      <c r="H698005" s="7"/>
    </row>
    <row r="698348" spans="8:8" x14ac:dyDescent="0.25">
      <c r="H698348" s="7"/>
    </row>
    <row r="698691" spans="8:8" x14ac:dyDescent="0.25">
      <c r="H698691" s="7"/>
    </row>
    <row r="699034" spans="8:8" x14ac:dyDescent="0.25">
      <c r="H699034" s="7"/>
    </row>
    <row r="699377" spans="8:8" x14ac:dyDescent="0.25">
      <c r="H699377" s="7"/>
    </row>
    <row r="699720" spans="8:8" x14ac:dyDescent="0.25">
      <c r="H699720" s="7"/>
    </row>
    <row r="700063" spans="8:8" x14ac:dyDescent="0.25">
      <c r="H700063" s="7"/>
    </row>
    <row r="700406" spans="8:8" x14ac:dyDescent="0.25">
      <c r="H700406" s="7"/>
    </row>
    <row r="700749" spans="8:8" x14ac:dyDescent="0.25">
      <c r="H700749" s="7"/>
    </row>
    <row r="701092" spans="8:8" x14ac:dyDescent="0.25">
      <c r="H701092" s="7"/>
    </row>
    <row r="701435" spans="8:8" x14ac:dyDescent="0.25">
      <c r="H701435" s="7"/>
    </row>
    <row r="701778" spans="8:8" x14ac:dyDescent="0.25">
      <c r="H701778" s="7"/>
    </row>
    <row r="702121" spans="8:8" x14ac:dyDescent="0.25">
      <c r="H702121" s="7"/>
    </row>
    <row r="702464" spans="8:8" x14ac:dyDescent="0.25">
      <c r="H702464" s="7"/>
    </row>
    <row r="702807" spans="8:8" x14ac:dyDescent="0.25">
      <c r="H702807" s="7"/>
    </row>
    <row r="703150" spans="8:8" x14ac:dyDescent="0.25">
      <c r="H703150" s="7"/>
    </row>
    <row r="703493" spans="8:8" x14ac:dyDescent="0.25">
      <c r="H703493" s="7"/>
    </row>
    <row r="703836" spans="8:8" x14ac:dyDescent="0.25">
      <c r="H703836" s="7"/>
    </row>
    <row r="704179" spans="8:8" x14ac:dyDescent="0.25">
      <c r="H704179" s="7"/>
    </row>
    <row r="704522" spans="8:8" x14ac:dyDescent="0.25">
      <c r="H704522" s="7"/>
    </row>
    <row r="704865" spans="8:8" x14ac:dyDescent="0.25">
      <c r="H704865" s="7"/>
    </row>
    <row r="705208" spans="8:8" x14ac:dyDescent="0.25">
      <c r="H705208" s="7"/>
    </row>
    <row r="705551" spans="8:8" x14ac:dyDescent="0.25">
      <c r="H705551" s="7"/>
    </row>
    <row r="705894" spans="8:8" x14ac:dyDescent="0.25">
      <c r="H705894" s="7"/>
    </row>
    <row r="706237" spans="8:8" x14ac:dyDescent="0.25">
      <c r="H706237" s="7"/>
    </row>
    <row r="706580" spans="8:8" x14ac:dyDescent="0.25">
      <c r="H706580" s="7"/>
    </row>
    <row r="706923" spans="8:8" x14ac:dyDescent="0.25">
      <c r="H706923" s="7"/>
    </row>
    <row r="707266" spans="8:8" x14ac:dyDescent="0.25">
      <c r="H707266" s="7"/>
    </row>
    <row r="707609" spans="8:8" x14ac:dyDescent="0.25">
      <c r="H707609" s="7"/>
    </row>
    <row r="707952" spans="8:8" x14ac:dyDescent="0.25">
      <c r="H707952" s="7"/>
    </row>
    <row r="708295" spans="8:8" x14ac:dyDescent="0.25">
      <c r="H708295" s="7"/>
    </row>
    <row r="708638" spans="8:8" x14ac:dyDescent="0.25">
      <c r="H708638" s="7"/>
    </row>
    <row r="708981" spans="8:8" x14ac:dyDescent="0.25">
      <c r="H708981" s="7"/>
    </row>
    <row r="709324" spans="8:8" x14ac:dyDescent="0.25">
      <c r="H709324" s="7"/>
    </row>
    <row r="709667" spans="8:8" x14ac:dyDescent="0.25">
      <c r="H709667" s="7"/>
    </row>
    <row r="710010" spans="8:8" x14ac:dyDescent="0.25">
      <c r="H710010" s="7"/>
    </row>
    <row r="710353" spans="8:8" x14ac:dyDescent="0.25">
      <c r="H710353" s="7"/>
    </row>
    <row r="710696" spans="8:8" x14ac:dyDescent="0.25">
      <c r="H710696" s="7"/>
    </row>
    <row r="711039" spans="8:8" x14ac:dyDescent="0.25">
      <c r="H711039" s="7"/>
    </row>
    <row r="711382" spans="8:8" x14ac:dyDescent="0.25">
      <c r="H711382" s="7"/>
    </row>
    <row r="711725" spans="8:8" x14ac:dyDescent="0.25">
      <c r="H711725" s="7"/>
    </row>
    <row r="712068" spans="8:8" x14ac:dyDescent="0.25">
      <c r="H712068" s="7"/>
    </row>
    <row r="712411" spans="8:8" x14ac:dyDescent="0.25">
      <c r="H712411" s="7"/>
    </row>
    <row r="712754" spans="8:8" x14ac:dyDescent="0.25">
      <c r="H712754" s="7"/>
    </row>
    <row r="713097" spans="8:8" x14ac:dyDescent="0.25">
      <c r="H713097" s="7"/>
    </row>
    <row r="713440" spans="8:8" x14ac:dyDescent="0.25">
      <c r="H713440" s="7"/>
    </row>
    <row r="713783" spans="8:8" x14ac:dyDescent="0.25">
      <c r="H713783" s="7"/>
    </row>
    <row r="714126" spans="8:8" x14ac:dyDescent="0.25">
      <c r="H714126" s="7"/>
    </row>
    <row r="714469" spans="8:8" x14ac:dyDescent="0.25">
      <c r="H714469" s="7"/>
    </row>
    <row r="714812" spans="8:8" x14ac:dyDescent="0.25">
      <c r="H714812" s="7"/>
    </row>
    <row r="715155" spans="8:8" x14ac:dyDescent="0.25">
      <c r="H715155" s="7"/>
    </row>
    <row r="715498" spans="8:8" x14ac:dyDescent="0.25">
      <c r="H715498" s="7"/>
    </row>
    <row r="715841" spans="8:8" x14ac:dyDescent="0.25">
      <c r="H715841" s="7"/>
    </row>
    <row r="716184" spans="8:8" x14ac:dyDescent="0.25">
      <c r="H716184" s="7"/>
    </row>
    <row r="716527" spans="8:8" x14ac:dyDescent="0.25">
      <c r="H716527" s="7"/>
    </row>
    <row r="716870" spans="8:8" x14ac:dyDescent="0.25">
      <c r="H716870" s="7"/>
    </row>
    <row r="717213" spans="8:8" x14ac:dyDescent="0.25">
      <c r="H717213" s="7"/>
    </row>
    <row r="717556" spans="8:8" x14ac:dyDescent="0.25">
      <c r="H717556" s="7"/>
    </row>
    <row r="717899" spans="8:8" x14ac:dyDescent="0.25">
      <c r="H717899" s="7"/>
    </row>
    <row r="718242" spans="8:8" x14ac:dyDescent="0.25">
      <c r="H718242" s="7"/>
    </row>
    <row r="718585" spans="8:8" x14ac:dyDescent="0.25">
      <c r="H718585" s="7"/>
    </row>
    <row r="718928" spans="8:8" x14ac:dyDescent="0.25">
      <c r="H718928" s="7"/>
    </row>
    <row r="719271" spans="8:8" x14ac:dyDescent="0.25">
      <c r="H719271" s="7"/>
    </row>
    <row r="719614" spans="8:8" x14ac:dyDescent="0.25">
      <c r="H719614" s="7"/>
    </row>
    <row r="719957" spans="8:8" x14ac:dyDescent="0.25">
      <c r="H719957" s="7"/>
    </row>
    <row r="720300" spans="8:8" x14ac:dyDescent="0.25">
      <c r="H720300" s="7"/>
    </row>
    <row r="720643" spans="8:8" x14ac:dyDescent="0.25">
      <c r="H720643" s="7"/>
    </row>
    <row r="720986" spans="8:8" x14ac:dyDescent="0.25">
      <c r="H720986" s="7"/>
    </row>
    <row r="721329" spans="8:8" x14ac:dyDescent="0.25">
      <c r="H721329" s="7"/>
    </row>
    <row r="721672" spans="8:8" x14ac:dyDescent="0.25">
      <c r="H721672" s="7"/>
    </row>
    <row r="722015" spans="8:8" x14ac:dyDescent="0.25">
      <c r="H722015" s="7"/>
    </row>
    <row r="722358" spans="8:8" x14ac:dyDescent="0.25">
      <c r="H722358" s="7"/>
    </row>
    <row r="722701" spans="8:8" x14ac:dyDescent="0.25">
      <c r="H722701" s="7"/>
    </row>
    <row r="723044" spans="8:8" x14ac:dyDescent="0.25">
      <c r="H723044" s="7"/>
    </row>
    <row r="723387" spans="8:8" x14ac:dyDescent="0.25">
      <c r="H723387" s="7"/>
    </row>
    <row r="723730" spans="8:8" x14ac:dyDescent="0.25">
      <c r="H723730" s="7"/>
    </row>
    <row r="724073" spans="8:8" x14ac:dyDescent="0.25">
      <c r="H724073" s="7"/>
    </row>
    <row r="724416" spans="8:8" x14ac:dyDescent="0.25">
      <c r="H724416" s="7"/>
    </row>
    <row r="724759" spans="8:8" x14ac:dyDescent="0.25">
      <c r="H724759" s="7"/>
    </row>
    <row r="725102" spans="8:8" x14ac:dyDescent="0.25">
      <c r="H725102" s="7"/>
    </row>
    <row r="725445" spans="8:8" x14ac:dyDescent="0.25">
      <c r="H725445" s="7"/>
    </row>
    <row r="725788" spans="8:8" x14ac:dyDescent="0.25">
      <c r="H725788" s="7"/>
    </row>
    <row r="726131" spans="8:8" x14ac:dyDescent="0.25">
      <c r="H726131" s="7"/>
    </row>
    <row r="726474" spans="8:8" x14ac:dyDescent="0.25">
      <c r="H726474" s="7"/>
    </row>
    <row r="726817" spans="8:8" x14ac:dyDescent="0.25">
      <c r="H726817" s="7"/>
    </row>
    <row r="727160" spans="8:8" x14ac:dyDescent="0.25">
      <c r="H727160" s="7"/>
    </row>
    <row r="727503" spans="8:8" x14ac:dyDescent="0.25">
      <c r="H727503" s="7"/>
    </row>
    <row r="727846" spans="8:8" x14ac:dyDescent="0.25">
      <c r="H727846" s="7"/>
    </row>
    <row r="728189" spans="8:8" x14ac:dyDescent="0.25">
      <c r="H728189" s="7"/>
    </row>
    <row r="728532" spans="8:8" x14ac:dyDescent="0.25">
      <c r="H728532" s="7"/>
    </row>
    <row r="728875" spans="8:8" x14ac:dyDescent="0.25">
      <c r="H728875" s="7"/>
    </row>
    <row r="729218" spans="8:8" x14ac:dyDescent="0.25">
      <c r="H729218" s="7"/>
    </row>
    <row r="729561" spans="8:8" x14ac:dyDescent="0.25">
      <c r="H729561" s="7"/>
    </row>
    <row r="729904" spans="8:8" x14ac:dyDescent="0.25">
      <c r="H729904" s="7"/>
    </row>
    <row r="730247" spans="8:8" x14ac:dyDescent="0.25">
      <c r="H730247" s="7"/>
    </row>
    <row r="730590" spans="8:8" x14ac:dyDescent="0.25">
      <c r="H730590" s="7"/>
    </row>
    <row r="730933" spans="8:8" x14ac:dyDescent="0.25">
      <c r="H730933" s="7"/>
    </row>
    <row r="731276" spans="8:8" x14ac:dyDescent="0.25">
      <c r="H731276" s="7"/>
    </row>
    <row r="731619" spans="8:8" x14ac:dyDescent="0.25">
      <c r="H731619" s="7"/>
    </row>
    <row r="731962" spans="8:8" x14ac:dyDescent="0.25">
      <c r="H731962" s="7"/>
    </row>
    <row r="732305" spans="8:8" x14ac:dyDescent="0.25">
      <c r="H732305" s="7"/>
    </row>
    <row r="732648" spans="8:8" x14ac:dyDescent="0.25">
      <c r="H732648" s="7"/>
    </row>
    <row r="732991" spans="8:8" x14ac:dyDescent="0.25">
      <c r="H732991" s="7"/>
    </row>
    <row r="733334" spans="8:8" x14ac:dyDescent="0.25">
      <c r="H733334" s="7"/>
    </row>
    <row r="733677" spans="8:8" x14ac:dyDescent="0.25">
      <c r="H733677" s="7"/>
    </row>
    <row r="734020" spans="8:8" x14ac:dyDescent="0.25">
      <c r="H734020" s="7"/>
    </row>
    <row r="734363" spans="8:8" x14ac:dyDescent="0.25">
      <c r="H734363" s="7"/>
    </row>
    <row r="734706" spans="8:8" x14ac:dyDescent="0.25">
      <c r="H734706" s="7"/>
    </row>
    <row r="735049" spans="8:8" x14ac:dyDescent="0.25">
      <c r="H735049" s="7"/>
    </row>
    <row r="735392" spans="8:8" x14ac:dyDescent="0.25">
      <c r="H735392" s="7"/>
    </row>
    <row r="735735" spans="8:8" x14ac:dyDescent="0.25">
      <c r="H735735" s="7"/>
    </row>
    <row r="736078" spans="8:8" x14ac:dyDescent="0.25">
      <c r="H736078" s="7"/>
    </row>
    <row r="736421" spans="8:8" x14ac:dyDescent="0.25">
      <c r="H736421" s="7"/>
    </row>
    <row r="736764" spans="8:8" x14ac:dyDescent="0.25">
      <c r="H736764" s="7"/>
    </row>
    <row r="737107" spans="8:8" x14ac:dyDescent="0.25">
      <c r="H737107" s="7"/>
    </row>
    <row r="737450" spans="8:8" x14ac:dyDescent="0.25">
      <c r="H737450" s="7"/>
    </row>
    <row r="737793" spans="8:8" x14ac:dyDescent="0.25">
      <c r="H737793" s="7"/>
    </row>
    <row r="738136" spans="8:8" x14ac:dyDescent="0.25">
      <c r="H738136" s="7"/>
    </row>
    <row r="738479" spans="8:8" x14ac:dyDescent="0.25">
      <c r="H738479" s="7"/>
    </row>
    <row r="738822" spans="8:8" x14ac:dyDescent="0.25">
      <c r="H738822" s="7"/>
    </row>
    <row r="739165" spans="8:8" x14ac:dyDescent="0.25">
      <c r="H739165" s="7"/>
    </row>
    <row r="739508" spans="8:8" x14ac:dyDescent="0.25">
      <c r="H739508" s="7"/>
    </row>
    <row r="739851" spans="8:8" x14ac:dyDescent="0.25">
      <c r="H739851" s="7"/>
    </row>
    <row r="740194" spans="8:8" x14ac:dyDescent="0.25">
      <c r="H740194" s="7"/>
    </row>
    <row r="740537" spans="8:8" x14ac:dyDescent="0.25">
      <c r="H740537" s="7"/>
    </row>
    <row r="740880" spans="8:8" x14ac:dyDescent="0.25">
      <c r="H740880" s="7"/>
    </row>
    <row r="741223" spans="8:8" x14ac:dyDescent="0.25">
      <c r="H741223" s="7"/>
    </row>
    <row r="741566" spans="8:8" x14ac:dyDescent="0.25">
      <c r="H741566" s="7"/>
    </row>
    <row r="741909" spans="8:8" x14ac:dyDescent="0.25">
      <c r="H741909" s="7"/>
    </row>
    <row r="742252" spans="8:8" x14ac:dyDescent="0.25">
      <c r="H742252" s="7"/>
    </row>
    <row r="742595" spans="8:8" x14ac:dyDescent="0.25">
      <c r="H742595" s="7"/>
    </row>
    <row r="742938" spans="8:8" x14ac:dyDescent="0.25">
      <c r="H742938" s="7"/>
    </row>
    <row r="743281" spans="8:8" x14ac:dyDescent="0.25">
      <c r="H743281" s="7"/>
    </row>
    <row r="743624" spans="8:8" x14ac:dyDescent="0.25">
      <c r="H743624" s="7"/>
    </row>
    <row r="743967" spans="8:8" x14ac:dyDescent="0.25">
      <c r="H743967" s="7"/>
    </row>
    <row r="744310" spans="8:8" x14ac:dyDescent="0.25">
      <c r="H744310" s="7"/>
    </row>
    <row r="744653" spans="8:8" x14ac:dyDescent="0.25">
      <c r="H744653" s="7"/>
    </row>
    <row r="744996" spans="8:8" x14ac:dyDescent="0.25">
      <c r="H744996" s="7"/>
    </row>
    <row r="745339" spans="8:8" x14ac:dyDescent="0.25">
      <c r="H745339" s="7"/>
    </row>
    <row r="745682" spans="8:8" x14ac:dyDescent="0.25">
      <c r="H745682" s="7"/>
    </row>
    <row r="746025" spans="8:8" x14ac:dyDescent="0.25">
      <c r="H746025" s="7"/>
    </row>
    <row r="746368" spans="8:8" x14ac:dyDescent="0.25">
      <c r="H746368" s="7"/>
    </row>
    <row r="746711" spans="8:8" x14ac:dyDescent="0.25">
      <c r="H746711" s="7"/>
    </row>
    <row r="747054" spans="8:8" x14ac:dyDescent="0.25">
      <c r="H747054" s="7"/>
    </row>
    <row r="747397" spans="8:8" x14ac:dyDescent="0.25">
      <c r="H747397" s="7"/>
    </row>
    <row r="747740" spans="8:8" x14ac:dyDescent="0.25">
      <c r="H747740" s="7"/>
    </row>
    <row r="748083" spans="8:8" x14ac:dyDescent="0.25">
      <c r="H748083" s="7"/>
    </row>
    <row r="748426" spans="8:8" x14ac:dyDescent="0.25">
      <c r="H748426" s="7"/>
    </row>
    <row r="748769" spans="8:8" x14ac:dyDescent="0.25">
      <c r="H748769" s="7"/>
    </row>
    <row r="749112" spans="8:8" x14ac:dyDescent="0.25">
      <c r="H749112" s="7"/>
    </row>
    <row r="749455" spans="8:8" x14ac:dyDescent="0.25">
      <c r="H749455" s="7"/>
    </row>
    <row r="749798" spans="8:8" x14ac:dyDescent="0.25">
      <c r="H749798" s="7"/>
    </row>
    <row r="750141" spans="8:8" x14ac:dyDescent="0.25">
      <c r="H750141" s="7"/>
    </row>
    <row r="750484" spans="8:8" x14ac:dyDescent="0.25">
      <c r="H750484" s="7"/>
    </row>
    <row r="750827" spans="8:8" x14ac:dyDescent="0.25">
      <c r="H750827" s="7"/>
    </row>
    <row r="751170" spans="8:8" x14ac:dyDescent="0.25">
      <c r="H751170" s="7"/>
    </row>
    <row r="751513" spans="8:8" x14ac:dyDescent="0.25">
      <c r="H751513" s="7"/>
    </row>
    <row r="751856" spans="8:8" x14ac:dyDescent="0.25">
      <c r="H751856" s="7"/>
    </row>
    <row r="752199" spans="8:8" x14ac:dyDescent="0.25">
      <c r="H752199" s="7"/>
    </row>
    <row r="752542" spans="8:8" x14ac:dyDescent="0.25">
      <c r="H752542" s="7"/>
    </row>
    <row r="752885" spans="8:8" x14ac:dyDescent="0.25">
      <c r="H752885" s="7"/>
    </row>
    <row r="753228" spans="8:8" x14ac:dyDescent="0.25">
      <c r="H753228" s="7"/>
    </row>
    <row r="753571" spans="8:8" x14ac:dyDescent="0.25">
      <c r="H753571" s="7"/>
    </row>
    <row r="753914" spans="8:8" x14ac:dyDescent="0.25">
      <c r="H753914" s="7"/>
    </row>
    <row r="754257" spans="8:8" x14ac:dyDescent="0.25">
      <c r="H754257" s="7"/>
    </row>
    <row r="754600" spans="8:8" x14ac:dyDescent="0.25">
      <c r="H754600" s="7"/>
    </row>
    <row r="754943" spans="8:8" x14ac:dyDescent="0.25">
      <c r="H754943" s="7"/>
    </row>
    <row r="755286" spans="8:8" x14ac:dyDescent="0.25">
      <c r="H755286" s="7"/>
    </row>
    <row r="755629" spans="8:8" x14ac:dyDescent="0.25">
      <c r="H755629" s="7"/>
    </row>
    <row r="755972" spans="8:8" x14ac:dyDescent="0.25">
      <c r="H755972" s="7"/>
    </row>
    <row r="756315" spans="8:8" x14ac:dyDescent="0.25">
      <c r="H756315" s="7"/>
    </row>
    <row r="756658" spans="8:8" x14ac:dyDescent="0.25">
      <c r="H756658" s="7"/>
    </row>
    <row r="757001" spans="8:8" x14ac:dyDescent="0.25">
      <c r="H757001" s="7"/>
    </row>
    <row r="757344" spans="8:8" x14ac:dyDescent="0.25">
      <c r="H757344" s="7"/>
    </row>
    <row r="757687" spans="8:8" x14ac:dyDescent="0.25">
      <c r="H757687" s="7"/>
    </row>
    <row r="758030" spans="8:8" x14ac:dyDescent="0.25">
      <c r="H758030" s="7"/>
    </row>
    <row r="758373" spans="8:8" x14ac:dyDescent="0.25">
      <c r="H758373" s="7"/>
    </row>
    <row r="758716" spans="8:8" x14ac:dyDescent="0.25">
      <c r="H758716" s="7"/>
    </row>
    <row r="759059" spans="8:8" x14ac:dyDescent="0.25">
      <c r="H759059" s="7"/>
    </row>
    <row r="759402" spans="8:8" x14ac:dyDescent="0.25">
      <c r="H759402" s="7"/>
    </row>
    <row r="759745" spans="8:8" x14ac:dyDescent="0.25">
      <c r="H759745" s="7"/>
    </row>
    <row r="760088" spans="8:8" x14ac:dyDescent="0.25">
      <c r="H760088" s="7"/>
    </row>
    <row r="760431" spans="8:8" x14ac:dyDescent="0.25">
      <c r="H760431" s="7"/>
    </row>
    <row r="760774" spans="8:8" x14ac:dyDescent="0.25">
      <c r="H760774" s="7"/>
    </row>
    <row r="761117" spans="8:8" x14ac:dyDescent="0.25">
      <c r="H761117" s="7"/>
    </row>
    <row r="761460" spans="8:8" x14ac:dyDescent="0.25">
      <c r="H761460" s="7"/>
    </row>
    <row r="761803" spans="8:8" x14ac:dyDescent="0.25">
      <c r="H761803" s="7"/>
    </row>
    <row r="762146" spans="8:8" x14ac:dyDescent="0.25">
      <c r="H762146" s="7"/>
    </row>
    <row r="762489" spans="8:8" x14ac:dyDescent="0.25">
      <c r="H762489" s="7"/>
    </row>
    <row r="762832" spans="8:8" x14ac:dyDescent="0.25">
      <c r="H762832" s="7"/>
    </row>
    <row r="763175" spans="8:8" x14ac:dyDescent="0.25">
      <c r="H763175" s="7"/>
    </row>
    <row r="763518" spans="8:8" x14ac:dyDescent="0.25">
      <c r="H763518" s="7"/>
    </row>
    <row r="763861" spans="8:8" x14ac:dyDescent="0.25">
      <c r="H763861" s="7"/>
    </row>
    <row r="764204" spans="8:8" x14ac:dyDescent="0.25">
      <c r="H764204" s="7"/>
    </row>
    <row r="764547" spans="8:8" x14ac:dyDescent="0.25">
      <c r="H764547" s="7"/>
    </row>
    <row r="764890" spans="8:8" x14ac:dyDescent="0.25">
      <c r="H764890" s="7"/>
    </row>
    <row r="765233" spans="8:8" x14ac:dyDescent="0.25">
      <c r="H765233" s="7"/>
    </row>
    <row r="765576" spans="8:8" x14ac:dyDescent="0.25">
      <c r="H765576" s="7"/>
    </row>
    <row r="765919" spans="8:8" x14ac:dyDescent="0.25">
      <c r="H765919" s="7"/>
    </row>
    <row r="766262" spans="8:8" x14ac:dyDescent="0.25">
      <c r="H766262" s="7"/>
    </row>
    <row r="766605" spans="8:8" x14ac:dyDescent="0.25">
      <c r="H766605" s="7"/>
    </row>
    <row r="766948" spans="8:8" x14ac:dyDescent="0.25">
      <c r="H766948" s="7"/>
    </row>
    <row r="767291" spans="8:8" x14ac:dyDescent="0.25">
      <c r="H767291" s="7"/>
    </row>
    <row r="767634" spans="8:8" x14ac:dyDescent="0.25">
      <c r="H767634" s="7"/>
    </row>
    <row r="767977" spans="8:8" x14ac:dyDescent="0.25">
      <c r="H767977" s="7"/>
    </row>
    <row r="768320" spans="8:8" x14ac:dyDescent="0.25">
      <c r="H768320" s="7"/>
    </row>
    <row r="768663" spans="8:8" x14ac:dyDescent="0.25">
      <c r="H768663" s="7"/>
    </row>
    <row r="769006" spans="8:8" x14ac:dyDescent="0.25">
      <c r="H769006" s="7"/>
    </row>
    <row r="769349" spans="8:8" x14ac:dyDescent="0.25">
      <c r="H769349" s="7"/>
    </row>
    <row r="769692" spans="8:8" x14ac:dyDescent="0.25">
      <c r="H769692" s="7"/>
    </row>
    <row r="770035" spans="8:8" x14ac:dyDescent="0.25">
      <c r="H770035" s="7"/>
    </row>
    <row r="770378" spans="8:8" x14ac:dyDescent="0.25">
      <c r="H770378" s="7"/>
    </row>
    <row r="770721" spans="8:8" x14ac:dyDescent="0.25">
      <c r="H770721" s="7"/>
    </row>
    <row r="771064" spans="8:8" x14ac:dyDescent="0.25">
      <c r="H771064" s="7"/>
    </row>
    <row r="771407" spans="8:8" x14ac:dyDescent="0.25">
      <c r="H771407" s="7"/>
    </row>
    <row r="771750" spans="8:8" x14ac:dyDescent="0.25">
      <c r="H771750" s="7"/>
    </row>
    <row r="772093" spans="8:8" x14ac:dyDescent="0.25">
      <c r="H772093" s="7"/>
    </row>
    <row r="772436" spans="8:8" x14ac:dyDescent="0.25">
      <c r="H772436" s="7"/>
    </row>
    <row r="772779" spans="8:8" x14ac:dyDescent="0.25">
      <c r="H772779" s="7"/>
    </row>
    <row r="773122" spans="8:8" x14ac:dyDescent="0.25">
      <c r="H773122" s="7"/>
    </row>
    <row r="773465" spans="8:8" x14ac:dyDescent="0.25">
      <c r="H773465" s="7"/>
    </row>
    <row r="773808" spans="8:8" x14ac:dyDescent="0.25">
      <c r="H773808" s="7"/>
    </row>
    <row r="774151" spans="8:8" x14ac:dyDescent="0.25">
      <c r="H774151" s="7"/>
    </row>
    <row r="774494" spans="8:8" x14ac:dyDescent="0.25">
      <c r="H774494" s="7"/>
    </row>
    <row r="774837" spans="8:8" x14ac:dyDescent="0.25">
      <c r="H774837" s="7"/>
    </row>
    <row r="775180" spans="8:8" x14ac:dyDescent="0.25">
      <c r="H775180" s="7"/>
    </row>
    <row r="775523" spans="8:8" x14ac:dyDescent="0.25">
      <c r="H775523" s="7"/>
    </row>
    <row r="775866" spans="8:8" x14ac:dyDescent="0.25">
      <c r="H775866" s="7"/>
    </row>
    <row r="776209" spans="8:8" x14ac:dyDescent="0.25">
      <c r="H776209" s="7"/>
    </row>
    <row r="776552" spans="8:8" x14ac:dyDescent="0.25">
      <c r="H776552" s="7"/>
    </row>
    <row r="776895" spans="8:8" x14ac:dyDescent="0.25">
      <c r="H776895" s="7"/>
    </row>
    <row r="777238" spans="8:8" x14ac:dyDescent="0.25">
      <c r="H777238" s="7"/>
    </row>
    <row r="777581" spans="8:8" x14ac:dyDescent="0.25">
      <c r="H777581" s="7"/>
    </row>
    <row r="777924" spans="8:8" x14ac:dyDescent="0.25">
      <c r="H777924" s="7"/>
    </row>
    <row r="778267" spans="8:8" x14ac:dyDescent="0.25">
      <c r="H778267" s="7"/>
    </row>
    <row r="778610" spans="8:8" x14ac:dyDescent="0.25">
      <c r="H778610" s="7"/>
    </row>
    <row r="778953" spans="8:8" x14ac:dyDescent="0.25">
      <c r="H778953" s="7"/>
    </row>
    <row r="779296" spans="8:8" x14ac:dyDescent="0.25">
      <c r="H779296" s="7"/>
    </row>
    <row r="779639" spans="8:8" x14ac:dyDescent="0.25">
      <c r="H779639" s="7"/>
    </row>
    <row r="779982" spans="8:8" x14ac:dyDescent="0.25">
      <c r="H779982" s="7"/>
    </row>
    <row r="780325" spans="8:8" x14ac:dyDescent="0.25">
      <c r="H780325" s="7"/>
    </row>
    <row r="780668" spans="8:8" x14ac:dyDescent="0.25">
      <c r="H780668" s="7"/>
    </row>
    <row r="781011" spans="8:8" x14ac:dyDescent="0.25">
      <c r="H781011" s="7"/>
    </row>
    <row r="781354" spans="8:8" x14ac:dyDescent="0.25">
      <c r="H781354" s="7"/>
    </row>
    <row r="781697" spans="8:8" x14ac:dyDescent="0.25">
      <c r="H781697" s="7"/>
    </row>
    <row r="782040" spans="8:8" x14ac:dyDescent="0.25">
      <c r="H782040" s="7"/>
    </row>
    <row r="782383" spans="8:8" x14ac:dyDescent="0.25">
      <c r="H782383" s="7"/>
    </row>
    <row r="782726" spans="8:8" x14ac:dyDescent="0.25">
      <c r="H782726" s="7"/>
    </row>
    <row r="783069" spans="8:8" x14ac:dyDescent="0.25">
      <c r="H783069" s="7"/>
    </row>
    <row r="783412" spans="8:8" x14ac:dyDescent="0.25">
      <c r="H783412" s="7"/>
    </row>
    <row r="783755" spans="8:8" x14ac:dyDescent="0.25">
      <c r="H783755" s="7"/>
    </row>
    <row r="784098" spans="8:8" x14ac:dyDescent="0.25">
      <c r="H784098" s="7"/>
    </row>
    <row r="784441" spans="8:8" x14ac:dyDescent="0.25">
      <c r="H784441" s="7"/>
    </row>
    <row r="784784" spans="8:8" x14ac:dyDescent="0.25">
      <c r="H784784" s="7"/>
    </row>
    <row r="785127" spans="8:8" x14ac:dyDescent="0.25">
      <c r="H785127" s="7"/>
    </row>
    <row r="785470" spans="8:8" x14ac:dyDescent="0.25">
      <c r="H785470" s="7"/>
    </row>
    <row r="785813" spans="8:8" x14ac:dyDescent="0.25">
      <c r="H785813" s="7"/>
    </row>
    <row r="786156" spans="8:8" x14ac:dyDescent="0.25">
      <c r="H786156" s="7"/>
    </row>
    <row r="786499" spans="8:8" x14ac:dyDescent="0.25">
      <c r="H786499" s="7"/>
    </row>
    <row r="786842" spans="8:8" x14ac:dyDescent="0.25">
      <c r="H786842" s="7"/>
    </row>
    <row r="787185" spans="8:8" x14ac:dyDescent="0.25">
      <c r="H787185" s="7"/>
    </row>
    <row r="787528" spans="8:8" x14ac:dyDescent="0.25">
      <c r="H787528" s="7"/>
    </row>
    <row r="787871" spans="8:8" x14ac:dyDescent="0.25">
      <c r="H787871" s="7"/>
    </row>
    <row r="788214" spans="8:8" x14ac:dyDescent="0.25">
      <c r="H788214" s="7"/>
    </row>
    <row r="788557" spans="8:8" x14ac:dyDescent="0.25">
      <c r="H788557" s="7"/>
    </row>
    <row r="788900" spans="8:8" x14ac:dyDescent="0.25">
      <c r="H788900" s="7"/>
    </row>
    <row r="789243" spans="8:8" x14ac:dyDescent="0.25">
      <c r="H789243" s="7"/>
    </row>
    <row r="789586" spans="8:8" x14ac:dyDescent="0.25">
      <c r="H789586" s="7"/>
    </row>
    <row r="789929" spans="8:8" x14ac:dyDescent="0.25">
      <c r="H789929" s="7"/>
    </row>
    <row r="790272" spans="8:8" x14ac:dyDescent="0.25">
      <c r="H790272" s="7"/>
    </row>
    <row r="790615" spans="8:8" x14ac:dyDescent="0.25">
      <c r="H790615" s="7"/>
    </row>
    <row r="790958" spans="8:8" x14ac:dyDescent="0.25">
      <c r="H790958" s="7"/>
    </row>
    <row r="791301" spans="8:8" x14ac:dyDescent="0.25">
      <c r="H791301" s="7"/>
    </row>
    <row r="791644" spans="8:8" x14ac:dyDescent="0.25">
      <c r="H791644" s="7"/>
    </row>
    <row r="791987" spans="8:8" x14ac:dyDescent="0.25">
      <c r="H791987" s="7"/>
    </row>
    <row r="792330" spans="8:8" x14ac:dyDescent="0.25">
      <c r="H792330" s="7"/>
    </row>
    <row r="792673" spans="8:8" x14ac:dyDescent="0.25">
      <c r="H792673" s="7"/>
    </row>
    <row r="793016" spans="8:8" x14ac:dyDescent="0.25">
      <c r="H793016" s="7"/>
    </row>
    <row r="793359" spans="8:8" x14ac:dyDescent="0.25">
      <c r="H793359" s="7"/>
    </row>
    <row r="793702" spans="8:8" x14ac:dyDescent="0.25">
      <c r="H793702" s="7"/>
    </row>
    <row r="794045" spans="8:8" x14ac:dyDescent="0.25">
      <c r="H794045" s="7"/>
    </row>
    <row r="794388" spans="8:8" x14ac:dyDescent="0.25">
      <c r="H794388" s="7"/>
    </row>
    <row r="794731" spans="8:8" x14ac:dyDescent="0.25">
      <c r="H794731" s="7"/>
    </row>
    <row r="795074" spans="8:8" x14ac:dyDescent="0.25">
      <c r="H795074" s="7"/>
    </row>
    <row r="795417" spans="8:8" x14ac:dyDescent="0.25">
      <c r="H795417" s="7"/>
    </row>
    <row r="795760" spans="8:8" x14ac:dyDescent="0.25">
      <c r="H795760" s="7"/>
    </row>
    <row r="796103" spans="8:8" x14ac:dyDescent="0.25">
      <c r="H796103" s="7"/>
    </row>
    <row r="796446" spans="8:8" x14ac:dyDescent="0.25">
      <c r="H796446" s="7"/>
    </row>
    <row r="796789" spans="8:8" x14ac:dyDescent="0.25">
      <c r="H796789" s="7"/>
    </row>
    <row r="797132" spans="8:8" x14ac:dyDescent="0.25">
      <c r="H797132" s="7"/>
    </row>
    <row r="797475" spans="8:8" x14ac:dyDescent="0.25">
      <c r="H797475" s="7"/>
    </row>
    <row r="797818" spans="8:8" x14ac:dyDescent="0.25">
      <c r="H797818" s="7"/>
    </row>
    <row r="798161" spans="8:8" x14ac:dyDescent="0.25">
      <c r="H798161" s="7"/>
    </row>
    <row r="798504" spans="8:8" x14ac:dyDescent="0.25">
      <c r="H798504" s="7"/>
    </row>
    <row r="798847" spans="8:8" x14ac:dyDescent="0.25">
      <c r="H798847" s="7"/>
    </row>
    <row r="799190" spans="8:8" x14ac:dyDescent="0.25">
      <c r="H799190" s="7"/>
    </row>
    <row r="799533" spans="8:8" x14ac:dyDescent="0.25">
      <c r="H799533" s="7"/>
    </row>
    <row r="799876" spans="8:8" x14ac:dyDescent="0.25">
      <c r="H799876" s="7"/>
    </row>
    <row r="800219" spans="8:8" x14ac:dyDescent="0.25">
      <c r="H800219" s="7"/>
    </row>
    <row r="800562" spans="8:8" x14ac:dyDescent="0.25">
      <c r="H800562" s="7"/>
    </row>
    <row r="800905" spans="8:8" x14ac:dyDescent="0.25">
      <c r="H800905" s="7"/>
    </row>
    <row r="801248" spans="8:8" x14ac:dyDescent="0.25">
      <c r="H801248" s="7"/>
    </row>
    <row r="801591" spans="8:8" x14ac:dyDescent="0.25">
      <c r="H801591" s="7"/>
    </row>
    <row r="801934" spans="8:8" x14ac:dyDescent="0.25">
      <c r="H801934" s="7"/>
    </row>
    <row r="802277" spans="8:8" x14ac:dyDescent="0.25">
      <c r="H802277" s="7"/>
    </row>
    <row r="802620" spans="8:8" x14ac:dyDescent="0.25">
      <c r="H802620" s="7"/>
    </row>
    <row r="802963" spans="8:8" x14ac:dyDescent="0.25">
      <c r="H802963" s="7"/>
    </row>
    <row r="803306" spans="8:8" x14ac:dyDescent="0.25">
      <c r="H803306" s="7"/>
    </row>
    <row r="803649" spans="8:8" x14ac:dyDescent="0.25">
      <c r="H803649" s="7"/>
    </row>
    <row r="803992" spans="8:8" x14ac:dyDescent="0.25">
      <c r="H803992" s="7"/>
    </row>
    <row r="804335" spans="8:8" x14ac:dyDescent="0.25">
      <c r="H804335" s="7"/>
    </row>
    <row r="804678" spans="8:8" x14ac:dyDescent="0.25">
      <c r="H804678" s="7"/>
    </row>
    <row r="805021" spans="8:8" x14ac:dyDescent="0.25">
      <c r="H805021" s="7"/>
    </row>
    <row r="805364" spans="8:8" x14ac:dyDescent="0.25">
      <c r="H805364" s="7"/>
    </row>
    <row r="805707" spans="8:8" x14ac:dyDescent="0.25">
      <c r="H805707" s="7"/>
    </row>
    <row r="806050" spans="8:8" x14ac:dyDescent="0.25">
      <c r="H806050" s="7"/>
    </row>
    <row r="806393" spans="8:8" x14ac:dyDescent="0.25">
      <c r="H806393" s="7"/>
    </row>
    <row r="806736" spans="8:8" x14ac:dyDescent="0.25">
      <c r="H806736" s="7"/>
    </row>
    <row r="807079" spans="8:8" x14ac:dyDescent="0.25">
      <c r="H807079" s="7"/>
    </row>
    <row r="807422" spans="8:8" x14ac:dyDescent="0.25">
      <c r="H807422" s="7"/>
    </row>
    <row r="807765" spans="8:8" x14ac:dyDescent="0.25">
      <c r="H807765" s="7"/>
    </row>
    <row r="808108" spans="8:8" x14ac:dyDescent="0.25">
      <c r="H808108" s="7"/>
    </row>
    <row r="808451" spans="8:8" x14ac:dyDescent="0.25">
      <c r="H808451" s="7"/>
    </row>
    <row r="808794" spans="8:8" x14ac:dyDescent="0.25">
      <c r="H808794" s="7"/>
    </row>
    <row r="809137" spans="8:8" x14ac:dyDescent="0.25">
      <c r="H809137" s="7"/>
    </row>
    <row r="809480" spans="8:8" x14ac:dyDescent="0.25">
      <c r="H809480" s="7"/>
    </row>
    <row r="809823" spans="8:8" x14ac:dyDescent="0.25">
      <c r="H809823" s="7"/>
    </row>
    <row r="810166" spans="8:8" x14ac:dyDescent="0.25">
      <c r="H810166" s="7"/>
    </row>
    <row r="810509" spans="8:8" x14ac:dyDescent="0.25">
      <c r="H810509" s="7"/>
    </row>
    <row r="810852" spans="8:8" x14ac:dyDescent="0.25">
      <c r="H810852" s="7"/>
    </row>
    <row r="811195" spans="8:8" x14ac:dyDescent="0.25">
      <c r="H811195" s="7"/>
    </row>
    <row r="811538" spans="8:8" x14ac:dyDescent="0.25">
      <c r="H811538" s="7"/>
    </row>
    <row r="811881" spans="8:8" x14ac:dyDescent="0.25">
      <c r="H811881" s="7"/>
    </row>
    <row r="812224" spans="8:8" x14ac:dyDescent="0.25">
      <c r="H812224" s="7"/>
    </row>
    <row r="812567" spans="8:8" x14ac:dyDescent="0.25">
      <c r="H812567" s="7"/>
    </row>
    <row r="812910" spans="8:8" x14ac:dyDescent="0.25">
      <c r="H812910" s="7"/>
    </row>
    <row r="813253" spans="8:8" x14ac:dyDescent="0.25">
      <c r="H813253" s="7"/>
    </row>
    <row r="813596" spans="8:8" x14ac:dyDescent="0.25">
      <c r="H813596" s="7"/>
    </row>
    <row r="813939" spans="8:8" x14ac:dyDescent="0.25">
      <c r="H813939" s="7"/>
    </row>
    <row r="814282" spans="8:8" x14ac:dyDescent="0.25">
      <c r="H814282" s="7"/>
    </row>
    <row r="814625" spans="8:8" x14ac:dyDescent="0.25">
      <c r="H814625" s="7"/>
    </row>
    <row r="814968" spans="8:8" x14ac:dyDescent="0.25">
      <c r="H814968" s="7"/>
    </row>
    <row r="815311" spans="8:8" x14ac:dyDescent="0.25">
      <c r="H815311" s="7"/>
    </row>
    <row r="815654" spans="8:8" x14ac:dyDescent="0.25">
      <c r="H815654" s="7"/>
    </row>
    <row r="815997" spans="8:8" x14ac:dyDescent="0.25">
      <c r="H815997" s="7"/>
    </row>
    <row r="816340" spans="8:8" x14ac:dyDescent="0.25">
      <c r="H816340" s="7"/>
    </row>
    <row r="816683" spans="8:8" x14ac:dyDescent="0.25">
      <c r="H816683" s="7"/>
    </row>
    <row r="817026" spans="8:8" x14ac:dyDescent="0.25">
      <c r="H817026" s="7"/>
    </row>
    <row r="817369" spans="8:8" x14ac:dyDescent="0.25">
      <c r="H817369" s="7"/>
    </row>
    <row r="817712" spans="8:8" x14ac:dyDescent="0.25">
      <c r="H817712" s="7"/>
    </row>
    <row r="818055" spans="8:8" x14ac:dyDescent="0.25">
      <c r="H818055" s="7"/>
    </row>
    <row r="818398" spans="8:8" x14ac:dyDescent="0.25">
      <c r="H818398" s="7"/>
    </row>
    <row r="818741" spans="8:8" x14ac:dyDescent="0.25">
      <c r="H818741" s="7"/>
    </row>
    <row r="819084" spans="8:8" x14ac:dyDescent="0.25">
      <c r="H819084" s="7"/>
    </row>
    <row r="819427" spans="8:8" x14ac:dyDescent="0.25">
      <c r="H819427" s="7"/>
    </row>
    <row r="819770" spans="8:8" x14ac:dyDescent="0.25">
      <c r="H819770" s="7"/>
    </row>
    <row r="820113" spans="8:8" x14ac:dyDescent="0.25">
      <c r="H820113" s="7"/>
    </row>
    <row r="820456" spans="8:8" x14ac:dyDescent="0.25">
      <c r="H820456" s="7"/>
    </row>
    <row r="820799" spans="8:8" x14ac:dyDescent="0.25">
      <c r="H820799" s="7"/>
    </row>
    <row r="821142" spans="8:8" x14ac:dyDescent="0.25">
      <c r="H821142" s="7"/>
    </row>
    <row r="821485" spans="8:8" x14ac:dyDescent="0.25">
      <c r="H821485" s="7"/>
    </row>
    <row r="821828" spans="8:8" x14ac:dyDescent="0.25">
      <c r="H821828" s="7"/>
    </row>
    <row r="822171" spans="8:8" x14ac:dyDescent="0.25">
      <c r="H822171" s="7"/>
    </row>
    <row r="822514" spans="8:8" x14ac:dyDescent="0.25">
      <c r="H822514" s="7"/>
    </row>
    <row r="822857" spans="8:8" x14ac:dyDescent="0.25">
      <c r="H822857" s="7"/>
    </row>
    <row r="823200" spans="8:8" x14ac:dyDescent="0.25">
      <c r="H823200" s="7"/>
    </row>
    <row r="823543" spans="8:8" x14ac:dyDescent="0.25">
      <c r="H823543" s="7"/>
    </row>
    <row r="823886" spans="8:8" x14ac:dyDescent="0.25">
      <c r="H823886" s="7"/>
    </row>
    <row r="824229" spans="8:8" x14ac:dyDescent="0.25">
      <c r="H824229" s="7"/>
    </row>
    <row r="824572" spans="8:8" x14ac:dyDescent="0.25">
      <c r="H824572" s="7"/>
    </row>
    <row r="824915" spans="8:8" x14ac:dyDescent="0.25">
      <c r="H824915" s="7"/>
    </row>
    <row r="825258" spans="8:8" x14ac:dyDescent="0.25">
      <c r="H825258" s="7"/>
    </row>
    <row r="825601" spans="8:8" x14ac:dyDescent="0.25">
      <c r="H825601" s="7"/>
    </row>
    <row r="825944" spans="8:8" x14ac:dyDescent="0.25">
      <c r="H825944" s="7"/>
    </row>
    <row r="826287" spans="8:8" x14ac:dyDescent="0.25">
      <c r="H826287" s="7"/>
    </row>
    <row r="826630" spans="8:8" x14ac:dyDescent="0.25">
      <c r="H826630" s="7"/>
    </row>
    <row r="826973" spans="8:8" x14ac:dyDescent="0.25">
      <c r="H826973" s="7"/>
    </row>
    <row r="827316" spans="8:8" x14ac:dyDescent="0.25">
      <c r="H827316" s="7"/>
    </row>
    <row r="827659" spans="8:8" x14ac:dyDescent="0.25">
      <c r="H827659" s="7"/>
    </row>
    <row r="828002" spans="8:8" x14ac:dyDescent="0.25">
      <c r="H828002" s="7"/>
    </row>
    <row r="828345" spans="8:8" x14ac:dyDescent="0.25">
      <c r="H828345" s="7"/>
    </row>
    <row r="828688" spans="8:8" x14ac:dyDescent="0.25">
      <c r="H828688" s="7"/>
    </row>
    <row r="829031" spans="8:8" x14ac:dyDescent="0.25">
      <c r="H829031" s="7"/>
    </row>
    <row r="829374" spans="8:8" x14ac:dyDescent="0.25">
      <c r="H829374" s="7"/>
    </row>
    <row r="829717" spans="8:8" x14ac:dyDescent="0.25">
      <c r="H829717" s="7"/>
    </row>
    <row r="830060" spans="8:8" x14ac:dyDescent="0.25">
      <c r="H830060" s="7"/>
    </row>
    <row r="830403" spans="8:8" x14ac:dyDescent="0.25">
      <c r="H830403" s="7"/>
    </row>
    <row r="830746" spans="8:8" x14ac:dyDescent="0.25">
      <c r="H830746" s="7"/>
    </row>
    <row r="831089" spans="8:8" x14ac:dyDescent="0.25">
      <c r="H831089" s="7"/>
    </row>
    <row r="831432" spans="8:8" x14ac:dyDescent="0.25">
      <c r="H831432" s="7"/>
    </row>
    <row r="831775" spans="8:8" x14ac:dyDescent="0.25">
      <c r="H831775" s="7"/>
    </row>
    <row r="832118" spans="8:8" x14ac:dyDescent="0.25">
      <c r="H832118" s="7"/>
    </row>
    <row r="832461" spans="8:8" x14ac:dyDescent="0.25">
      <c r="H832461" s="7"/>
    </row>
    <row r="832804" spans="8:8" x14ac:dyDescent="0.25">
      <c r="H832804" s="7"/>
    </row>
    <row r="833147" spans="8:8" x14ac:dyDescent="0.25">
      <c r="H833147" s="7"/>
    </row>
    <row r="833490" spans="8:8" x14ac:dyDescent="0.25">
      <c r="H833490" s="7"/>
    </row>
    <row r="833833" spans="8:8" x14ac:dyDescent="0.25">
      <c r="H833833" s="7"/>
    </row>
    <row r="834176" spans="8:8" x14ac:dyDescent="0.25">
      <c r="H834176" s="7"/>
    </row>
    <row r="834519" spans="8:8" x14ac:dyDescent="0.25">
      <c r="H834519" s="7"/>
    </row>
    <row r="834862" spans="8:8" x14ac:dyDescent="0.25">
      <c r="H834862" s="7"/>
    </row>
    <row r="835205" spans="8:8" x14ac:dyDescent="0.25">
      <c r="H835205" s="7"/>
    </row>
    <row r="835548" spans="8:8" x14ac:dyDescent="0.25">
      <c r="H835548" s="7"/>
    </row>
    <row r="835891" spans="8:8" x14ac:dyDescent="0.25">
      <c r="H835891" s="7"/>
    </row>
    <row r="836234" spans="8:8" x14ac:dyDescent="0.25">
      <c r="H836234" s="7"/>
    </row>
    <row r="836577" spans="8:8" x14ac:dyDescent="0.25">
      <c r="H836577" s="7"/>
    </row>
    <row r="836920" spans="8:8" x14ac:dyDescent="0.25">
      <c r="H836920" s="7"/>
    </row>
    <row r="837263" spans="8:8" x14ac:dyDescent="0.25">
      <c r="H837263" s="7"/>
    </row>
    <row r="837606" spans="8:8" x14ac:dyDescent="0.25">
      <c r="H837606" s="7"/>
    </row>
    <row r="837949" spans="8:8" x14ac:dyDescent="0.25">
      <c r="H837949" s="7"/>
    </row>
    <row r="838292" spans="8:8" x14ac:dyDescent="0.25">
      <c r="H838292" s="7"/>
    </row>
    <row r="838635" spans="8:8" x14ac:dyDescent="0.25">
      <c r="H838635" s="7"/>
    </row>
    <row r="838978" spans="8:8" x14ac:dyDescent="0.25">
      <c r="H838978" s="7"/>
    </row>
    <row r="839321" spans="8:8" x14ac:dyDescent="0.25">
      <c r="H839321" s="7"/>
    </row>
    <row r="839664" spans="8:8" x14ac:dyDescent="0.25">
      <c r="H839664" s="7"/>
    </row>
    <row r="840007" spans="8:8" x14ac:dyDescent="0.25">
      <c r="H840007" s="7"/>
    </row>
    <row r="840350" spans="8:8" x14ac:dyDescent="0.25">
      <c r="H840350" s="7"/>
    </row>
    <row r="840693" spans="8:8" x14ac:dyDescent="0.25">
      <c r="H840693" s="7"/>
    </row>
    <row r="841036" spans="8:8" x14ac:dyDescent="0.25">
      <c r="H841036" s="7"/>
    </row>
    <row r="841379" spans="8:8" x14ac:dyDescent="0.25">
      <c r="H841379" s="7"/>
    </row>
    <row r="841722" spans="8:8" x14ac:dyDescent="0.25">
      <c r="H841722" s="7"/>
    </row>
    <row r="842065" spans="8:8" x14ac:dyDescent="0.25">
      <c r="H842065" s="7"/>
    </row>
    <row r="842408" spans="8:8" x14ac:dyDescent="0.25">
      <c r="H842408" s="7"/>
    </row>
    <row r="842751" spans="8:8" x14ac:dyDescent="0.25">
      <c r="H842751" s="7"/>
    </row>
    <row r="843094" spans="8:8" x14ac:dyDescent="0.25">
      <c r="H843094" s="7"/>
    </row>
    <row r="843437" spans="8:8" x14ac:dyDescent="0.25">
      <c r="H843437" s="7"/>
    </row>
    <row r="843780" spans="8:8" x14ac:dyDescent="0.25">
      <c r="H843780" s="7"/>
    </row>
    <row r="844123" spans="8:8" x14ac:dyDescent="0.25">
      <c r="H844123" s="7"/>
    </row>
    <row r="844466" spans="8:8" x14ac:dyDescent="0.25">
      <c r="H844466" s="7"/>
    </row>
    <row r="844809" spans="8:8" x14ac:dyDescent="0.25">
      <c r="H844809" s="7"/>
    </row>
    <row r="845152" spans="8:8" x14ac:dyDescent="0.25">
      <c r="H845152" s="7"/>
    </row>
    <row r="845495" spans="8:8" x14ac:dyDescent="0.25">
      <c r="H845495" s="7"/>
    </row>
    <row r="845838" spans="8:8" x14ac:dyDescent="0.25">
      <c r="H845838" s="7"/>
    </row>
    <row r="846181" spans="8:8" x14ac:dyDescent="0.25">
      <c r="H846181" s="7"/>
    </row>
    <row r="846524" spans="8:8" x14ac:dyDescent="0.25">
      <c r="H846524" s="7"/>
    </row>
    <row r="846867" spans="8:8" x14ac:dyDescent="0.25">
      <c r="H846867" s="7"/>
    </row>
    <row r="847210" spans="8:8" x14ac:dyDescent="0.25">
      <c r="H847210" s="7"/>
    </row>
    <row r="847553" spans="8:8" x14ac:dyDescent="0.25">
      <c r="H847553" s="7"/>
    </row>
    <row r="847896" spans="8:8" x14ac:dyDescent="0.25">
      <c r="H847896" s="7"/>
    </row>
    <row r="848239" spans="8:8" x14ac:dyDescent="0.25">
      <c r="H848239" s="7"/>
    </row>
    <row r="848582" spans="8:8" x14ac:dyDescent="0.25">
      <c r="H848582" s="7"/>
    </row>
    <row r="848925" spans="8:8" x14ac:dyDescent="0.25">
      <c r="H848925" s="7"/>
    </row>
    <row r="849268" spans="8:8" x14ac:dyDescent="0.25">
      <c r="H849268" s="7"/>
    </row>
    <row r="849611" spans="8:8" x14ac:dyDescent="0.25">
      <c r="H849611" s="7"/>
    </row>
    <row r="849954" spans="8:8" x14ac:dyDescent="0.25">
      <c r="H849954" s="7"/>
    </row>
    <row r="850297" spans="8:8" x14ac:dyDescent="0.25">
      <c r="H850297" s="7"/>
    </row>
    <row r="850640" spans="8:8" x14ac:dyDescent="0.25">
      <c r="H850640" s="7"/>
    </row>
    <row r="850983" spans="8:8" x14ac:dyDescent="0.25">
      <c r="H850983" s="7"/>
    </row>
    <row r="851326" spans="8:8" x14ac:dyDescent="0.25">
      <c r="H851326" s="7"/>
    </row>
    <row r="851669" spans="8:8" x14ac:dyDescent="0.25">
      <c r="H851669" s="7"/>
    </row>
    <row r="852012" spans="8:8" x14ac:dyDescent="0.25">
      <c r="H852012" s="7"/>
    </row>
    <row r="852355" spans="8:8" x14ac:dyDescent="0.25">
      <c r="H852355" s="7"/>
    </row>
    <row r="852698" spans="8:8" x14ac:dyDescent="0.25">
      <c r="H852698" s="7"/>
    </row>
    <row r="853041" spans="8:8" x14ac:dyDescent="0.25">
      <c r="H853041" s="7"/>
    </row>
    <row r="853384" spans="8:8" x14ac:dyDescent="0.25">
      <c r="H853384" s="7"/>
    </row>
    <row r="853727" spans="8:8" x14ac:dyDescent="0.25">
      <c r="H853727" s="7"/>
    </row>
    <row r="854070" spans="8:8" x14ac:dyDescent="0.25">
      <c r="H854070" s="7"/>
    </row>
    <row r="854413" spans="8:8" x14ac:dyDescent="0.25">
      <c r="H854413" s="7"/>
    </row>
    <row r="854756" spans="8:8" x14ac:dyDescent="0.25">
      <c r="H854756" s="7"/>
    </row>
    <row r="855099" spans="8:8" x14ac:dyDescent="0.25">
      <c r="H855099" s="7"/>
    </row>
    <row r="855442" spans="8:8" x14ac:dyDescent="0.25">
      <c r="H855442" s="7"/>
    </row>
    <row r="855785" spans="8:8" x14ac:dyDescent="0.25">
      <c r="H855785" s="7"/>
    </row>
    <row r="856128" spans="8:8" x14ac:dyDescent="0.25">
      <c r="H856128" s="7"/>
    </row>
    <row r="856471" spans="8:8" x14ac:dyDescent="0.25">
      <c r="H856471" s="7"/>
    </row>
    <row r="856814" spans="8:8" x14ac:dyDescent="0.25">
      <c r="H856814" s="7"/>
    </row>
    <row r="857157" spans="8:8" x14ac:dyDescent="0.25">
      <c r="H857157" s="7"/>
    </row>
    <row r="857500" spans="8:8" x14ac:dyDescent="0.25">
      <c r="H857500" s="7"/>
    </row>
    <row r="857843" spans="8:8" x14ac:dyDescent="0.25">
      <c r="H857843" s="7"/>
    </row>
    <row r="858186" spans="8:8" x14ac:dyDescent="0.25">
      <c r="H858186" s="7"/>
    </row>
    <row r="858529" spans="8:8" x14ac:dyDescent="0.25">
      <c r="H858529" s="7"/>
    </row>
    <row r="858872" spans="8:8" x14ac:dyDescent="0.25">
      <c r="H858872" s="7"/>
    </row>
    <row r="859215" spans="8:8" x14ac:dyDescent="0.25">
      <c r="H859215" s="7"/>
    </row>
    <row r="859558" spans="8:8" x14ac:dyDescent="0.25">
      <c r="H859558" s="7"/>
    </row>
    <row r="859901" spans="8:8" x14ac:dyDescent="0.25">
      <c r="H859901" s="7"/>
    </row>
    <row r="860244" spans="8:8" x14ac:dyDescent="0.25">
      <c r="H860244" s="7"/>
    </row>
    <row r="860587" spans="8:8" x14ac:dyDescent="0.25">
      <c r="H860587" s="7"/>
    </row>
    <row r="860930" spans="8:8" x14ac:dyDescent="0.25">
      <c r="H860930" s="7"/>
    </row>
    <row r="861273" spans="8:8" x14ac:dyDescent="0.25">
      <c r="H861273" s="7"/>
    </row>
    <row r="861616" spans="8:8" x14ac:dyDescent="0.25">
      <c r="H861616" s="7"/>
    </row>
    <row r="861959" spans="8:8" x14ac:dyDescent="0.25">
      <c r="H861959" s="7"/>
    </row>
    <row r="862302" spans="8:8" x14ac:dyDescent="0.25">
      <c r="H862302" s="7"/>
    </row>
    <row r="862645" spans="8:8" x14ac:dyDescent="0.25">
      <c r="H862645" s="7"/>
    </row>
    <row r="862988" spans="8:8" x14ac:dyDescent="0.25">
      <c r="H862988" s="7"/>
    </row>
    <row r="863331" spans="8:8" x14ac:dyDescent="0.25">
      <c r="H863331" s="7"/>
    </row>
    <row r="863674" spans="8:8" x14ac:dyDescent="0.25">
      <c r="H863674" s="7"/>
    </row>
    <row r="864017" spans="8:8" x14ac:dyDescent="0.25">
      <c r="H864017" s="7"/>
    </row>
    <row r="864360" spans="8:8" x14ac:dyDescent="0.25">
      <c r="H864360" s="7"/>
    </row>
    <row r="864703" spans="8:8" x14ac:dyDescent="0.25">
      <c r="H864703" s="7"/>
    </row>
    <row r="865046" spans="8:8" x14ac:dyDescent="0.25">
      <c r="H865046" s="7"/>
    </row>
    <row r="865389" spans="8:8" x14ac:dyDescent="0.25">
      <c r="H865389" s="7"/>
    </row>
    <row r="865732" spans="8:8" x14ac:dyDescent="0.25">
      <c r="H865732" s="7"/>
    </row>
    <row r="866075" spans="8:8" x14ac:dyDescent="0.25">
      <c r="H866075" s="7"/>
    </row>
    <row r="866418" spans="8:8" x14ac:dyDescent="0.25">
      <c r="H866418" s="7"/>
    </row>
    <row r="866761" spans="8:8" x14ac:dyDescent="0.25">
      <c r="H866761" s="7"/>
    </row>
    <row r="867104" spans="8:8" x14ac:dyDescent="0.25">
      <c r="H867104" s="7"/>
    </row>
    <row r="867447" spans="8:8" x14ac:dyDescent="0.25">
      <c r="H867447" s="7"/>
    </row>
    <row r="867790" spans="8:8" x14ac:dyDescent="0.25">
      <c r="H867790" s="7"/>
    </row>
    <row r="868133" spans="8:8" x14ac:dyDescent="0.25">
      <c r="H868133" s="7"/>
    </row>
    <row r="868476" spans="8:8" x14ac:dyDescent="0.25">
      <c r="H868476" s="7"/>
    </row>
    <row r="868819" spans="8:8" x14ac:dyDescent="0.25">
      <c r="H868819" s="7"/>
    </row>
    <row r="869162" spans="8:8" x14ac:dyDescent="0.25">
      <c r="H869162" s="7"/>
    </row>
    <row r="869505" spans="8:8" x14ac:dyDescent="0.25">
      <c r="H869505" s="7"/>
    </row>
    <row r="869848" spans="8:8" x14ac:dyDescent="0.25">
      <c r="H869848" s="7"/>
    </row>
    <row r="870191" spans="8:8" x14ac:dyDescent="0.25">
      <c r="H870191" s="7"/>
    </row>
    <row r="870534" spans="8:8" x14ac:dyDescent="0.25">
      <c r="H870534" s="7"/>
    </row>
    <row r="870877" spans="8:8" x14ac:dyDescent="0.25">
      <c r="H870877" s="7"/>
    </row>
    <row r="871220" spans="8:8" x14ac:dyDescent="0.25">
      <c r="H871220" s="7"/>
    </row>
    <row r="871563" spans="8:8" x14ac:dyDescent="0.25">
      <c r="H871563" s="7"/>
    </row>
    <row r="871906" spans="8:8" x14ac:dyDescent="0.25">
      <c r="H871906" s="7"/>
    </row>
    <row r="872249" spans="8:8" x14ac:dyDescent="0.25">
      <c r="H872249" s="7"/>
    </row>
    <row r="872592" spans="8:8" x14ac:dyDescent="0.25">
      <c r="H872592" s="7"/>
    </row>
    <row r="872935" spans="8:8" x14ac:dyDescent="0.25">
      <c r="H872935" s="7"/>
    </row>
    <row r="873278" spans="8:8" x14ac:dyDescent="0.25">
      <c r="H873278" s="7"/>
    </row>
    <row r="873621" spans="8:8" x14ac:dyDescent="0.25">
      <c r="H873621" s="7"/>
    </row>
    <row r="873964" spans="8:8" x14ac:dyDescent="0.25">
      <c r="H873964" s="7"/>
    </row>
    <row r="874307" spans="8:8" x14ac:dyDescent="0.25">
      <c r="H874307" s="7"/>
    </row>
    <row r="874650" spans="8:8" x14ac:dyDescent="0.25">
      <c r="H874650" s="7"/>
    </row>
    <row r="874993" spans="8:8" x14ac:dyDescent="0.25">
      <c r="H874993" s="7"/>
    </row>
    <row r="875336" spans="8:8" x14ac:dyDescent="0.25">
      <c r="H875336" s="7"/>
    </row>
    <row r="875679" spans="8:8" x14ac:dyDescent="0.25">
      <c r="H875679" s="7"/>
    </row>
    <row r="876022" spans="8:8" x14ac:dyDescent="0.25">
      <c r="H876022" s="7"/>
    </row>
    <row r="876365" spans="8:8" x14ac:dyDescent="0.25">
      <c r="H876365" s="7"/>
    </row>
    <row r="876708" spans="8:8" x14ac:dyDescent="0.25">
      <c r="H876708" s="7"/>
    </row>
    <row r="877051" spans="8:8" x14ac:dyDescent="0.25">
      <c r="H877051" s="7"/>
    </row>
    <row r="877394" spans="8:8" x14ac:dyDescent="0.25">
      <c r="H877394" s="7"/>
    </row>
    <row r="877737" spans="8:8" x14ac:dyDescent="0.25">
      <c r="H877737" s="7"/>
    </row>
    <row r="878080" spans="8:8" x14ac:dyDescent="0.25">
      <c r="H878080" s="7"/>
    </row>
    <row r="878423" spans="8:8" x14ac:dyDescent="0.25">
      <c r="H878423" s="7"/>
    </row>
    <row r="878766" spans="8:8" x14ac:dyDescent="0.25">
      <c r="H878766" s="7"/>
    </row>
    <row r="879109" spans="8:8" x14ac:dyDescent="0.25">
      <c r="H879109" s="7"/>
    </row>
    <row r="879452" spans="8:8" x14ac:dyDescent="0.25">
      <c r="H879452" s="7"/>
    </row>
    <row r="879795" spans="8:8" x14ac:dyDescent="0.25">
      <c r="H879795" s="7"/>
    </row>
    <row r="880138" spans="8:8" x14ac:dyDescent="0.25">
      <c r="H880138" s="7"/>
    </row>
    <row r="880481" spans="8:8" x14ac:dyDescent="0.25">
      <c r="H880481" s="7"/>
    </row>
    <row r="880824" spans="8:8" x14ac:dyDescent="0.25">
      <c r="H880824" s="7"/>
    </row>
    <row r="881167" spans="8:8" x14ac:dyDescent="0.25">
      <c r="H881167" s="7"/>
    </row>
    <row r="881510" spans="8:8" x14ac:dyDescent="0.25">
      <c r="H881510" s="7"/>
    </row>
    <row r="881853" spans="8:8" x14ac:dyDescent="0.25">
      <c r="H881853" s="7"/>
    </row>
    <row r="882196" spans="8:8" x14ac:dyDescent="0.25">
      <c r="H882196" s="7"/>
    </row>
    <row r="882539" spans="8:8" x14ac:dyDescent="0.25">
      <c r="H882539" s="7"/>
    </row>
    <row r="882882" spans="8:8" x14ac:dyDescent="0.25">
      <c r="H882882" s="7"/>
    </row>
    <row r="883225" spans="8:8" x14ac:dyDescent="0.25">
      <c r="H883225" s="7"/>
    </row>
    <row r="883568" spans="8:8" x14ac:dyDescent="0.25">
      <c r="H883568" s="7"/>
    </row>
    <row r="883911" spans="8:8" x14ac:dyDescent="0.25">
      <c r="H883911" s="7"/>
    </row>
    <row r="884254" spans="8:8" x14ac:dyDescent="0.25">
      <c r="H884254" s="7"/>
    </row>
    <row r="884597" spans="8:8" x14ac:dyDescent="0.25">
      <c r="H884597" s="7"/>
    </row>
    <row r="884940" spans="8:8" x14ac:dyDescent="0.25">
      <c r="H884940" s="7"/>
    </row>
    <row r="885283" spans="8:8" x14ac:dyDescent="0.25">
      <c r="H885283" s="7"/>
    </row>
    <row r="885626" spans="8:8" x14ac:dyDescent="0.25">
      <c r="H885626" s="7"/>
    </row>
    <row r="885969" spans="8:8" x14ac:dyDescent="0.25">
      <c r="H885969" s="7"/>
    </row>
    <row r="886312" spans="8:8" x14ac:dyDescent="0.25">
      <c r="H886312" s="7"/>
    </row>
    <row r="886655" spans="8:8" x14ac:dyDescent="0.25">
      <c r="H886655" s="7"/>
    </row>
    <row r="886998" spans="8:8" x14ac:dyDescent="0.25">
      <c r="H886998" s="7"/>
    </row>
    <row r="887341" spans="8:8" x14ac:dyDescent="0.25">
      <c r="H887341" s="7"/>
    </row>
    <row r="887684" spans="8:8" x14ac:dyDescent="0.25">
      <c r="H887684" s="7"/>
    </row>
    <row r="888027" spans="8:8" x14ac:dyDescent="0.25">
      <c r="H888027" s="7"/>
    </row>
    <row r="888370" spans="8:8" x14ac:dyDescent="0.25">
      <c r="H888370" s="7"/>
    </row>
    <row r="888713" spans="8:8" x14ac:dyDescent="0.25">
      <c r="H888713" s="7"/>
    </row>
    <row r="889056" spans="8:8" x14ac:dyDescent="0.25">
      <c r="H889056" s="7"/>
    </row>
    <row r="889399" spans="8:8" x14ac:dyDescent="0.25">
      <c r="H889399" s="7"/>
    </row>
    <row r="889742" spans="8:8" x14ac:dyDescent="0.25">
      <c r="H889742" s="7"/>
    </row>
    <row r="890085" spans="8:8" x14ac:dyDescent="0.25">
      <c r="H890085" s="7"/>
    </row>
    <row r="890428" spans="8:8" x14ac:dyDescent="0.25">
      <c r="H890428" s="7"/>
    </row>
    <row r="890771" spans="8:8" x14ac:dyDescent="0.25">
      <c r="H890771" s="7"/>
    </row>
    <row r="891114" spans="8:8" x14ac:dyDescent="0.25">
      <c r="H891114" s="7"/>
    </row>
    <row r="891457" spans="8:8" x14ac:dyDescent="0.25">
      <c r="H891457" s="7"/>
    </row>
    <row r="891800" spans="8:8" x14ac:dyDescent="0.25">
      <c r="H891800" s="7"/>
    </row>
    <row r="892143" spans="8:8" x14ac:dyDescent="0.25">
      <c r="H892143" s="7"/>
    </row>
    <row r="892486" spans="8:8" x14ac:dyDescent="0.25">
      <c r="H892486" s="7"/>
    </row>
    <row r="892829" spans="8:8" x14ac:dyDescent="0.25">
      <c r="H892829" s="7"/>
    </row>
    <row r="893172" spans="8:8" x14ac:dyDescent="0.25">
      <c r="H893172" s="7"/>
    </row>
    <row r="893515" spans="8:8" x14ac:dyDescent="0.25">
      <c r="H893515" s="7"/>
    </row>
    <row r="893858" spans="8:8" x14ac:dyDescent="0.25">
      <c r="H893858" s="7"/>
    </row>
    <row r="894201" spans="8:8" x14ac:dyDescent="0.25">
      <c r="H894201" s="7"/>
    </row>
    <row r="894544" spans="8:8" x14ac:dyDescent="0.25">
      <c r="H894544" s="7"/>
    </row>
    <row r="894887" spans="8:8" x14ac:dyDescent="0.25">
      <c r="H894887" s="7"/>
    </row>
    <row r="895230" spans="8:8" x14ac:dyDescent="0.25">
      <c r="H895230" s="7"/>
    </row>
    <row r="895573" spans="8:8" x14ac:dyDescent="0.25">
      <c r="H895573" s="7"/>
    </row>
    <row r="895916" spans="8:8" x14ac:dyDescent="0.25">
      <c r="H895916" s="7"/>
    </row>
    <row r="896259" spans="8:8" x14ac:dyDescent="0.25">
      <c r="H896259" s="7"/>
    </row>
    <row r="896602" spans="8:8" x14ac:dyDescent="0.25">
      <c r="H896602" s="7"/>
    </row>
    <row r="896945" spans="8:8" x14ac:dyDescent="0.25">
      <c r="H896945" s="7"/>
    </row>
    <row r="897288" spans="8:8" x14ac:dyDescent="0.25">
      <c r="H897288" s="7"/>
    </row>
    <row r="897631" spans="8:8" x14ac:dyDescent="0.25">
      <c r="H897631" s="7"/>
    </row>
    <row r="897974" spans="8:8" x14ac:dyDescent="0.25">
      <c r="H897974" s="7"/>
    </row>
    <row r="898317" spans="8:8" x14ac:dyDescent="0.25">
      <c r="H898317" s="7"/>
    </row>
    <row r="898660" spans="8:8" x14ac:dyDescent="0.25">
      <c r="H898660" s="7"/>
    </row>
    <row r="899003" spans="8:8" x14ac:dyDescent="0.25">
      <c r="H899003" s="7"/>
    </row>
    <row r="899346" spans="8:8" x14ac:dyDescent="0.25">
      <c r="H899346" s="7"/>
    </row>
    <row r="899689" spans="8:8" x14ac:dyDescent="0.25">
      <c r="H899689" s="7"/>
    </row>
    <row r="900032" spans="8:8" x14ac:dyDescent="0.25">
      <c r="H900032" s="7"/>
    </row>
    <row r="900375" spans="8:8" x14ac:dyDescent="0.25">
      <c r="H900375" s="7"/>
    </row>
    <row r="900718" spans="8:8" x14ac:dyDescent="0.25">
      <c r="H900718" s="7"/>
    </row>
    <row r="901061" spans="8:8" x14ac:dyDescent="0.25">
      <c r="H901061" s="7"/>
    </row>
    <row r="901404" spans="8:8" x14ac:dyDescent="0.25">
      <c r="H901404" s="7"/>
    </row>
    <row r="901747" spans="8:8" x14ac:dyDescent="0.25">
      <c r="H901747" s="7"/>
    </row>
    <row r="902090" spans="8:8" x14ac:dyDescent="0.25">
      <c r="H902090" s="7"/>
    </row>
    <row r="902433" spans="8:8" x14ac:dyDescent="0.25">
      <c r="H902433" s="7"/>
    </row>
    <row r="902776" spans="8:8" x14ac:dyDescent="0.25">
      <c r="H902776" s="7"/>
    </row>
    <row r="903119" spans="8:8" x14ac:dyDescent="0.25">
      <c r="H903119" s="7"/>
    </row>
    <row r="903462" spans="8:8" x14ac:dyDescent="0.25">
      <c r="H903462" s="7"/>
    </row>
    <row r="903805" spans="8:8" x14ac:dyDescent="0.25">
      <c r="H903805" s="7"/>
    </row>
    <row r="904148" spans="8:8" x14ac:dyDescent="0.25">
      <c r="H904148" s="7"/>
    </row>
    <row r="904491" spans="8:8" x14ac:dyDescent="0.25">
      <c r="H904491" s="7"/>
    </row>
    <row r="904834" spans="8:8" x14ac:dyDescent="0.25">
      <c r="H904834" s="7"/>
    </row>
    <row r="905177" spans="8:8" x14ac:dyDescent="0.25">
      <c r="H905177" s="7"/>
    </row>
    <row r="905520" spans="8:8" x14ac:dyDescent="0.25">
      <c r="H905520" s="7"/>
    </row>
    <row r="905863" spans="8:8" x14ac:dyDescent="0.25">
      <c r="H905863" s="7"/>
    </row>
    <row r="906206" spans="8:8" x14ac:dyDescent="0.25">
      <c r="H906206" s="7"/>
    </row>
    <row r="906549" spans="8:8" x14ac:dyDescent="0.25">
      <c r="H906549" s="7"/>
    </row>
    <row r="906892" spans="8:8" x14ac:dyDescent="0.25">
      <c r="H906892" s="7"/>
    </row>
    <row r="907235" spans="8:8" x14ac:dyDescent="0.25">
      <c r="H907235" s="7"/>
    </row>
    <row r="907578" spans="8:8" x14ac:dyDescent="0.25">
      <c r="H907578" s="7"/>
    </row>
    <row r="907921" spans="8:8" x14ac:dyDescent="0.25">
      <c r="H907921" s="7"/>
    </row>
    <row r="908264" spans="8:8" x14ac:dyDescent="0.25">
      <c r="H908264" s="7"/>
    </row>
    <row r="908607" spans="8:8" x14ac:dyDescent="0.25">
      <c r="H908607" s="7"/>
    </row>
    <row r="908950" spans="8:8" x14ac:dyDescent="0.25">
      <c r="H908950" s="7"/>
    </row>
    <row r="909293" spans="8:8" x14ac:dyDescent="0.25">
      <c r="H909293" s="7"/>
    </row>
    <row r="909636" spans="8:8" x14ac:dyDescent="0.25">
      <c r="H909636" s="7"/>
    </row>
    <row r="909979" spans="8:8" x14ac:dyDescent="0.25">
      <c r="H909979" s="7"/>
    </row>
    <row r="910322" spans="8:8" x14ac:dyDescent="0.25">
      <c r="H910322" s="7"/>
    </row>
    <row r="910665" spans="8:8" x14ac:dyDescent="0.25">
      <c r="H910665" s="7"/>
    </row>
    <row r="911008" spans="8:8" x14ac:dyDescent="0.25">
      <c r="H911008" s="7"/>
    </row>
    <row r="911351" spans="8:8" x14ac:dyDescent="0.25">
      <c r="H911351" s="7"/>
    </row>
    <row r="911694" spans="8:8" x14ac:dyDescent="0.25">
      <c r="H911694" s="7"/>
    </row>
    <row r="912037" spans="8:8" x14ac:dyDescent="0.25">
      <c r="H912037" s="7"/>
    </row>
    <row r="912380" spans="8:8" x14ac:dyDescent="0.25">
      <c r="H912380" s="7"/>
    </row>
    <row r="912723" spans="8:8" x14ac:dyDescent="0.25">
      <c r="H912723" s="7"/>
    </row>
    <row r="913066" spans="8:8" x14ac:dyDescent="0.25">
      <c r="H913066" s="7"/>
    </row>
    <row r="913409" spans="8:8" x14ac:dyDescent="0.25">
      <c r="H913409" s="7"/>
    </row>
    <row r="913752" spans="8:8" x14ac:dyDescent="0.25">
      <c r="H913752" s="7"/>
    </row>
    <row r="914095" spans="8:8" x14ac:dyDescent="0.25">
      <c r="H914095" s="7"/>
    </row>
    <row r="914438" spans="8:8" x14ac:dyDescent="0.25">
      <c r="H914438" s="7"/>
    </row>
    <row r="914781" spans="8:8" x14ac:dyDescent="0.25">
      <c r="H914781" s="7"/>
    </row>
    <row r="915124" spans="8:8" x14ac:dyDescent="0.25">
      <c r="H915124" s="7"/>
    </row>
    <row r="915467" spans="8:8" x14ac:dyDescent="0.25">
      <c r="H915467" s="7"/>
    </row>
    <row r="915810" spans="8:8" x14ac:dyDescent="0.25">
      <c r="H915810" s="7"/>
    </row>
    <row r="916153" spans="8:8" x14ac:dyDescent="0.25">
      <c r="H916153" s="7"/>
    </row>
    <row r="916496" spans="8:8" x14ac:dyDescent="0.25">
      <c r="H916496" s="7"/>
    </row>
    <row r="916839" spans="8:8" x14ac:dyDescent="0.25">
      <c r="H916839" s="7"/>
    </row>
    <row r="917182" spans="8:8" x14ac:dyDescent="0.25">
      <c r="H917182" s="7"/>
    </row>
    <row r="917525" spans="8:8" x14ac:dyDescent="0.25">
      <c r="H917525" s="7"/>
    </row>
    <row r="917868" spans="8:8" x14ac:dyDescent="0.25">
      <c r="H917868" s="7"/>
    </row>
    <row r="918211" spans="8:8" x14ac:dyDescent="0.25">
      <c r="H918211" s="7"/>
    </row>
    <row r="918554" spans="8:8" x14ac:dyDescent="0.25">
      <c r="H918554" s="7"/>
    </row>
    <row r="918897" spans="8:8" x14ac:dyDescent="0.25">
      <c r="H918897" s="7"/>
    </row>
    <row r="919240" spans="8:8" x14ac:dyDescent="0.25">
      <c r="H919240" s="7"/>
    </row>
    <row r="919583" spans="8:8" x14ac:dyDescent="0.25">
      <c r="H919583" s="7"/>
    </row>
    <row r="919926" spans="8:8" x14ac:dyDescent="0.25">
      <c r="H919926" s="7"/>
    </row>
    <row r="920269" spans="8:8" x14ac:dyDescent="0.25">
      <c r="H920269" s="7"/>
    </row>
    <row r="920612" spans="8:8" x14ac:dyDescent="0.25">
      <c r="H920612" s="7"/>
    </row>
    <row r="920955" spans="8:8" x14ac:dyDescent="0.25">
      <c r="H920955" s="7"/>
    </row>
    <row r="921298" spans="8:8" x14ac:dyDescent="0.25">
      <c r="H921298" s="7"/>
    </row>
    <row r="921641" spans="8:8" x14ac:dyDescent="0.25">
      <c r="H921641" s="7"/>
    </row>
    <row r="921984" spans="8:8" x14ac:dyDescent="0.25">
      <c r="H921984" s="7"/>
    </row>
    <row r="922327" spans="8:8" x14ac:dyDescent="0.25">
      <c r="H922327" s="7"/>
    </row>
    <row r="922670" spans="8:8" x14ac:dyDescent="0.25">
      <c r="H922670" s="7"/>
    </row>
    <row r="923013" spans="8:8" x14ac:dyDescent="0.25">
      <c r="H923013" s="7"/>
    </row>
    <row r="923356" spans="8:8" x14ac:dyDescent="0.25">
      <c r="H923356" s="7"/>
    </row>
    <row r="923699" spans="8:8" x14ac:dyDescent="0.25">
      <c r="H923699" s="7"/>
    </row>
    <row r="924042" spans="8:8" x14ac:dyDescent="0.25">
      <c r="H924042" s="7"/>
    </row>
    <row r="924385" spans="8:8" x14ac:dyDescent="0.25">
      <c r="H924385" s="7"/>
    </row>
    <row r="924728" spans="8:8" x14ac:dyDescent="0.25">
      <c r="H924728" s="7"/>
    </row>
    <row r="925071" spans="8:8" x14ac:dyDescent="0.25">
      <c r="H925071" s="7"/>
    </row>
    <row r="925414" spans="8:8" x14ac:dyDescent="0.25">
      <c r="H925414" s="7"/>
    </row>
    <row r="925757" spans="8:8" x14ac:dyDescent="0.25">
      <c r="H925757" s="7"/>
    </row>
    <row r="926100" spans="8:8" x14ac:dyDescent="0.25">
      <c r="H926100" s="7"/>
    </row>
    <row r="926443" spans="8:8" x14ac:dyDescent="0.25">
      <c r="H926443" s="7"/>
    </row>
    <row r="926786" spans="8:8" x14ac:dyDescent="0.25">
      <c r="H926786" s="7"/>
    </row>
    <row r="927129" spans="8:8" x14ac:dyDescent="0.25">
      <c r="H927129" s="7"/>
    </row>
    <row r="927472" spans="8:8" x14ac:dyDescent="0.25">
      <c r="H927472" s="7"/>
    </row>
    <row r="927815" spans="8:8" x14ac:dyDescent="0.25">
      <c r="H927815" s="7"/>
    </row>
    <row r="928158" spans="8:8" x14ac:dyDescent="0.25">
      <c r="H928158" s="7"/>
    </row>
    <row r="928501" spans="8:8" x14ac:dyDescent="0.25">
      <c r="H928501" s="7"/>
    </row>
    <row r="928844" spans="8:8" x14ac:dyDescent="0.25">
      <c r="H928844" s="7"/>
    </row>
    <row r="929187" spans="8:8" x14ac:dyDescent="0.25">
      <c r="H929187" s="7"/>
    </row>
    <row r="929530" spans="8:8" x14ac:dyDescent="0.25">
      <c r="H929530" s="7"/>
    </row>
    <row r="929873" spans="8:8" x14ac:dyDescent="0.25">
      <c r="H929873" s="7"/>
    </row>
    <row r="930216" spans="8:8" x14ac:dyDescent="0.25">
      <c r="H930216" s="7"/>
    </row>
    <row r="930559" spans="8:8" x14ac:dyDescent="0.25">
      <c r="H930559" s="7"/>
    </row>
    <row r="930902" spans="8:8" x14ac:dyDescent="0.25">
      <c r="H930902" s="7"/>
    </row>
    <row r="931245" spans="8:8" x14ac:dyDescent="0.25">
      <c r="H931245" s="7"/>
    </row>
    <row r="931588" spans="8:8" x14ac:dyDescent="0.25">
      <c r="H931588" s="7"/>
    </row>
    <row r="931931" spans="8:8" x14ac:dyDescent="0.25">
      <c r="H931931" s="7"/>
    </row>
    <row r="932274" spans="8:8" x14ac:dyDescent="0.25">
      <c r="H932274" s="7"/>
    </row>
    <row r="932617" spans="8:8" x14ac:dyDescent="0.25">
      <c r="H932617" s="7"/>
    </row>
    <row r="932960" spans="8:8" x14ac:dyDescent="0.25">
      <c r="H932960" s="7"/>
    </row>
    <row r="933303" spans="8:8" x14ac:dyDescent="0.25">
      <c r="H933303" s="7"/>
    </row>
    <row r="933646" spans="8:8" x14ac:dyDescent="0.25">
      <c r="H933646" s="7"/>
    </row>
    <row r="933989" spans="8:8" x14ac:dyDescent="0.25">
      <c r="H933989" s="7"/>
    </row>
    <row r="934332" spans="8:8" x14ac:dyDescent="0.25">
      <c r="H934332" s="7"/>
    </row>
    <row r="934675" spans="8:8" x14ac:dyDescent="0.25">
      <c r="H934675" s="7"/>
    </row>
    <row r="935018" spans="8:8" x14ac:dyDescent="0.25">
      <c r="H935018" s="7"/>
    </row>
    <row r="935361" spans="8:8" x14ac:dyDescent="0.25">
      <c r="H935361" s="7"/>
    </row>
    <row r="935704" spans="8:8" x14ac:dyDescent="0.25">
      <c r="H935704" s="7"/>
    </row>
    <row r="936047" spans="8:8" x14ac:dyDescent="0.25">
      <c r="H936047" s="7"/>
    </row>
    <row r="936390" spans="8:8" x14ac:dyDescent="0.25">
      <c r="H936390" s="7"/>
    </row>
    <row r="936733" spans="8:8" x14ac:dyDescent="0.25">
      <c r="H936733" s="7"/>
    </row>
    <row r="937076" spans="8:8" x14ac:dyDescent="0.25">
      <c r="H937076" s="7"/>
    </row>
    <row r="937419" spans="8:8" x14ac:dyDescent="0.25">
      <c r="H937419" s="7"/>
    </row>
    <row r="937762" spans="8:8" x14ac:dyDescent="0.25">
      <c r="H937762" s="7"/>
    </row>
    <row r="938105" spans="8:8" x14ac:dyDescent="0.25">
      <c r="H938105" s="7"/>
    </row>
    <row r="938448" spans="8:8" x14ac:dyDescent="0.25">
      <c r="H938448" s="7"/>
    </row>
    <row r="938791" spans="8:8" x14ac:dyDescent="0.25">
      <c r="H938791" s="7"/>
    </row>
    <row r="939134" spans="8:8" x14ac:dyDescent="0.25">
      <c r="H939134" s="7"/>
    </row>
    <row r="939477" spans="8:8" x14ac:dyDescent="0.25">
      <c r="H939477" s="7"/>
    </row>
    <row r="939820" spans="8:8" x14ac:dyDescent="0.25">
      <c r="H939820" s="7"/>
    </row>
    <row r="940163" spans="8:8" x14ac:dyDescent="0.25">
      <c r="H940163" s="7"/>
    </row>
    <row r="940506" spans="8:8" x14ac:dyDescent="0.25">
      <c r="H940506" s="7"/>
    </row>
    <row r="940849" spans="8:8" x14ac:dyDescent="0.25">
      <c r="H940849" s="7"/>
    </row>
    <row r="941192" spans="8:8" x14ac:dyDescent="0.25">
      <c r="H941192" s="7"/>
    </row>
    <row r="941535" spans="8:8" x14ac:dyDescent="0.25">
      <c r="H941535" s="7"/>
    </row>
    <row r="941878" spans="8:8" x14ac:dyDescent="0.25">
      <c r="H941878" s="7"/>
    </row>
    <row r="942221" spans="8:8" x14ac:dyDescent="0.25">
      <c r="H942221" s="7"/>
    </row>
    <row r="942564" spans="8:8" x14ac:dyDescent="0.25">
      <c r="H942564" s="7"/>
    </row>
    <row r="942907" spans="8:8" x14ac:dyDescent="0.25">
      <c r="H942907" s="7"/>
    </row>
    <row r="943250" spans="8:8" x14ac:dyDescent="0.25">
      <c r="H943250" s="7"/>
    </row>
    <row r="943593" spans="8:8" x14ac:dyDescent="0.25">
      <c r="H943593" s="7"/>
    </row>
    <row r="943936" spans="8:8" x14ac:dyDescent="0.25">
      <c r="H943936" s="7"/>
    </row>
    <row r="944279" spans="8:8" x14ac:dyDescent="0.25">
      <c r="H944279" s="7"/>
    </row>
    <row r="944622" spans="8:8" x14ac:dyDescent="0.25">
      <c r="H944622" s="7"/>
    </row>
    <row r="944965" spans="8:8" x14ac:dyDescent="0.25">
      <c r="H944965" s="7"/>
    </row>
    <row r="945308" spans="8:8" x14ac:dyDescent="0.25">
      <c r="H945308" s="7"/>
    </row>
    <row r="945651" spans="8:8" x14ac:dyDescent="0.25">
      <c r="H945651" s="7"/>
    </row>
    <row r="945994" spans="8:8" x14ac:dyDescent="0.25">
      <c r="H945994" s="7"/>
    </row>
    <row r="946337" spans="8:8" x14ac:dyDescent="0.25">
      <c r="H946337" s="7"/>
    </row>
    <row r="946680" spans="8:8" x14ac:dyDescent="0.25">
      <c r="H946680" s="7"/>
    </row>
    <row r="947023" spans="8:8" x14ac:dyDescent="0.25">
      <c r="H947023" s="7"/>
    </row>
    <row r="947366" spans="8:8" x14ac:dyDescent="0.25">
      <c r="H947366" s="7"/>
    </row>
    <row r="947709" spans="8:8" x14ac:dyDescent="0.25">
      <c r="H947709" s="7"/>
    </row>
    <row r="948052" spans="8:8" x14ac:dyDescent="0.25">
      <c r="H948052" s="7"/>
    </row>
    <row r="948395" spans="8:8" x14ac:dyDescent="0.25">
      <c r="H948395" s="7"/>
    </row>
    <row r="948738" spans="8:8" x14ac:dyDescent="0.25">
      <c r="H948738" s="7"/>
    </row>
    <row r="949081" spans="8:8" x14ac:dyDescent="0.25">
      <c r="H949081" s="7"/>
    </row>
    <row r="949424" spans="8:8" x14ac:dyDescent="0.25">
      <c r="H949424" s="7"/>
    </row>
    <row r="949767" spans="8:8" x14ac:dyDescent="0.25">
      <c r="H949767" s="7"/>
    </row>
    <row r="950110" spans="8:8" x14ac:dyDescent="0.25">
      <c r="H950110" s="7"/>
    </row>
    <row r="950453" spans="8:8" x14ac:dyDescent="0.25">
      <c r="H950453" s="7"/>
    </row>
    <row r="950796" spans="8:8" x14ac:dyDescent="0.25">
      <c r="H950796" s="7"/>
    </row>
    <row r="951139" spans="8:8" x14ac:dyDescent="0.25">
      <c r="H951139" s="7"/>
    </row>
    <row r="951482" spans="8:8" x14ac:dyDescent="0.25">
      <c r="H951482" s="7"/>
    </row>
    <row r="951825" spans="8:8" x14ac:dyDescent="0.25">
      <c r="H951825" s="7"/>
    </row>
    <row r="952168" spans="8:8" x14ac:dyDescent="0.25">
      <c r="H952168" s="7"/>
    </row>
    <row r="952511" spans="8:8" x14ac:dyDescent="0.25">
      <c r="H952511" s="7"/>
    </row>
    <row r="952854" spans="8:8" x14ac:dyDescent="0.25">
      <c r="H952854" s="7"/>
    </row>
    <row r="953197" spans="8:8" x14ac:dyDescent="0.25">
      <c r="H953197" s="7"/>
    </row>
    <row r="953540" spans="8:8" x14ac:dyDescent="0.25">
      <c r="H953540" s="7"/>
    </row>
    <row r="953883" spans="8:8" x14ac:dyDescent="0.25">
      <c r="H953883" s="7"/>
    </row>
    <row r="954226" spans="8:8" x14ac:dyDescent="0.25">
      <c r="H954226" s="7"/>
    </row>
    <row r="954569" spans="8:8" x14ac:dyDescent="0.25">
      <c r="H954569" s="7"/>
    </row>
    <row r="954912" spans="8:8" x14ac:dyDescent="0.25">
      <c r="H954912" s="7"/>
    </row>
    <row r="955255" spans="8:8" x14ac:dyDescent="0.25">
      <c r="H955255" s="7"/>
    </row>
    <row r="955598" spans="8:8" x14ac:dyDescent="0.25">
      <c r="H955598" s="7"/>
    </row>
    <row r="955941" spans="8:8" x14ac:dyDescent="0.25">
      <c r="H955941" s="7"/>
    </row>
    <row r="956284" spans="8:8" x14ac:dyDescent="0.25">
      <c r="H956284" s="7"/>
    </row>
    <row r="956627" spans="8:8" x14ac:dyDescent="0.25">
      <c r="H956627" s="7"/>
    </row>
    <row r="956970" spans="8:8" x14ac:dyDescent="0.25">
      <c r="H956970" s="7"/>
    </row>
    <row r="957313" spans="8:8" x14ac:dyDescent="0.25">
      <c r="H957313" s="7"/>
    </row>
    <row r="957656" spans="8:8" x14ac:dyDescent="0.25">
      <c r="H957656" s="7"/>
    </row>
    <row r="957999" spans="8:8" x14ac:dyDescent="0.25">
      <c r="H957999" s="7"/>
    </row>
    <row r="958342" spans="8:8" x14ac:dyDescent="0.25">
      <c r="H958342" s="7"/>
    </row>
    <row r="958685" spans="8:8" x14ac:dyDescent="0.25">
      <c r="H958685" s="7"/>
    </row>
    <row r="959028" spans="8:8" x14ac:dyDescent="0.25">
      <c r="H959028" s="7"/>
    </row>
    <row r="959371" spans="8:8" x14ac:dyDescent="0.25">
      <c r="H959371" s="7"/>
    </row>
    <row r="959714" spans="8:8" x14ac:dyDescent="0.25">
      <c r="H959714" s="7"/>
    </row>
    <row r="960057" spans="8:8" x14ac:dyDescent="0.25">
      <c r="H960057" s="7"/>
    </row>
    <row r="960400" spans="8:8" x14ac:dyDescent="0.25">
      <c r="H960400" s="7"/>
    </row>
    <row r="960743" spans="8:8" x14ac:dyDescent="0.25">
      <c r="H960743" s="7"/>
    </row>
    <row r="961086" spans="8:8" x14ac:dyDescent="0.25">
      <c r="H961086" s="7"/>
    </row>
    <row r="961429" spans="8:8" x14ac:dyDescent="0.25">
      <c r="H961429" s="7"/>
    </row>
    <row r="961772" spans="8:8" x14ac:dyDescent="0.25">
      <c r="H961772" s="7"/>
    </row>
    <row r="962115" spans="8:8" x14ac:dyDescent="0.25">
      <c r="H962115" s="7"/>
    </row>
    <row r="962458" spans="8:8" x14ac:dyDescent="0.25">
      <c r="H962458" s="7"/>
    </row>
    <row r="962801" spans="8:8" x14ac:dyDescent="0.25">
      <c r="H962801" s="7"/>
    </row>
    <row r="963144" spans="8:8" x14ac:dyDescent="0.25">
      <c r="H963144" s="7"/>
    </row>
    <row r="963487" spans="8:8" x14ac:dyDescent="0.25">
      <c r="H963487" s="7"/>
    </row>
    <row r="963830" spans="8:8" x14ac:dyDescent="0.25">
      <c r="H963830" s="7"/>
    </row>
    <row r="964173" spans="8:8" x14ac:dyDescent="0.25">
      <c r="H964173" s="7"/>
    </row>
    <row r="964516" spans="8:8" x14ac:dyDescent="0.25">
      <c r="H964516" s="7"/>
    </row>
    <row r="964859" spans="8:8" x14ac:dyDescent="0.25">
      <c r="H964859" s="7"/>
    </row>
    <row r="965202" spans="8:8" x14ac:dyDescent="0.25">
      <c r="H965202" s="7"/>
    </row>
    <row r="965545" spans="8:8" x14ac:dyDescent="0.25">
      <c r="H965545" s="7"/>
    </row>
    <row r="965888" spans="8:8" x14ac:dyDescent="0.25">
      <c r="H965888" s="7"/>
    </row>
    <row r="966231" spans="8:8" x14ac:dyDescent="0.25">
      <c r="H966231" s="7"/>
    </row>
    <row r="966574" spans="8:8" x14ac:dyDescent="0.25">
      <c r="H966574" s="7"/>
    </row>
    <row r="966917" spans="8:8" x14ac:dyDescent="0.25">
      <c r="H966917" s="7"/>
    </row>
    <row r="967260" spans="8:8" x14ac:dyDescent="0.25">
      <c r="H967260" s="7"/>
    </row>
    <row r="967603" spans="8:8" x14ac:dyDescent="0.25">
      <c r="H967603" s="7"/>
    </row>
    <row r="967946" spans="8:8" x14ac:dyDescent="0.25">
      <c r="H967946" s="7"/>
    </row>
    <row r="968289" spans="8:8" x14ac:dyDescent="0.25">
      <c r="H968289" s="7"/>
    </row>
    <row r="968632" spans="8:8" x14ac:dyDescent="0.25">
      <c r="H968632" s="7"/>
    </row>
    <row r="968975" spans="8:8" x14ac:dyDescent="0.25">
      <c r="H968975" s="7"/>
    </row>
    <row r="969318" spans="8:8" x14ac:dyDescent="0.25">
      <c r="H969318" s="7"/>
    </row>
    <row r="969661" spans="8:8" x14ac:dyDescent="0.25">
      <c r="H969661" s="7"/>
    </row>
    <row r="970004" spans="8:8" x14ac:dyDescent="0.25">
      <c r="H970004" s="7"/>
    </row>
    <row r="970347" spans="8:8" x14ac:dyDescent="0.25">
      <c r="H970347" s="7"/>
    </row>
    <row r="970690" spans="8:8" x14ac:dyDescent="0.25">
      <c r="H970690" s="7"/>
    </row>
    <row r="971033" spans="8:8" x14ac:dyDescent="0.25">
      <c r="H971033" s="7"/>
    </row>
    <row r="971376" spans="8:8" x14ac:dyDescent="0.25">
      <c r="H971376" s="7"/>
    </row>
    <row r="971719" spans="8:8" x14ac:dyDescent="0.25">
      <c r="H971719" s="7"/>
    </row>
    <row r="972062" spans="8:8" x14ac:dyDescent="0.25">
      <c r="H972062" s="7"/>
    </row>
    <row r="972405" spans="8:8" x14ac:dyDescent="0.25">
      <c r="H972405" s="7"/>
    </row>
    <row r="972748" spans="8:8" x14ac:dyDescent="0.25">
      <c r="H972748" s="7"/>
    </row>
    <row r="973091" spans="8:8" x14ac:dyDescent="0.25">
      <c r="H973091" s="7"/>
    </row>
    <row r="973434" spans="8:8" x14ac:dyDescent="0.25">
      <c r="H973434" s="7"/>
    </row>
    <row r="973777" spans="8:8" x14ac:dyDescent="0.25">
      <c r="H973777" s="7"/>
    </row>
    <row r="974120" spans="8:8" x14ac:dyDescent="0.25">
      <c r="H974120" s="7"/>
    </row>
    <row r="974463" spans="8:8" x14ac:dyDescent="0.25">
      <c r="H974463" s="7"/>
    </row>
    <row r="974806" spans="8:8" x14ac:dyDescent="0.25">
      <c r="H974806" s="7"/>
    </row>
    <row r="975149" spans="8:8" x14ac:dyDescent="0.25">
      <c r="H975149" s="7"/>
    </row>
    <row r="975492" spans="8:8" x14ac:dyDescent="0.25">
      <c r="H975492" s="7"/>
    </row>
    <row r="975835" spans="8:8" x14ac:dyDescent="0.25">
      <c r="H975835" s="7"/>
    </row>
    <row r="976178" spans="8:8" x14ac:dyDescent="0.25">
      <c r="H976178" s="7"/>
    </row>
    <row r="976521" spans="8:8" x14ac:dyDescent="0.25">
      <c r="H976521" s="7"/>
    </row>
    <row r="976864" spans="8:8" x14ac:dyDescent="0.25">
      <c r="H976864" s="7"/>
    </row>
    <row r="977207" spans="8:8" x14ac:dyDescent="0.25">
      <c r="H977207" s="7"/>
    </row>
    <row r="977550" spans="8:8" x14ac:dyDescent="0.25">
      <c r="H977550" s="7"/>
    </row>
    <row r="977893" spans="8:8" x14ac:dyDescent="0.25">
      <c r="H977893" s="7"/>
    </row>
    <row r="978236" spans="8:8" x14ac:dyDescent="0.25">
      <c r="H978236" s="7"/>
    </row>
    <row r="978579" spans="8:8" x14ac:dyDescent="0.25">
      <c r="H978579" s="7"/>
    </row>
    <row r="978922" spans="8:8" x14ac:dyDescent="0.25">
      <c r="H978922" s="7"/>
    </row>
    <row r="979265" spans="8:8" x14ac:dyDescent="0.25">
      <c r="H979265" s="7"/>
    </row>
    <row r="979608" spans="8:8" x14ac:dyDescent="0.25">
      <c r="H979608" s="7"/>
    </row>
    <row r="979951" spans="8:8" x14ac:dyDescent="0.25">
      <c r="H979951" s="7"/>
    </row>
    <row r="980294" spans="8:8" x14ac:dyDescent="0.25">
      <c r="H980294" s="7"/>
    </row>
    <row r="980637" spans="8:8" x14ac:dyDescent="0.25">
      <c r="H980637" s="7"/>
    </row>
    <row r="980980" spans="8:8" x14ac:dyDescent="0.25">
      <c r="H980980" s="7"/>
    </row>
    <row r="981323" spans="8:8" x14ac:dyDescent="0.25">
      <c r="H981323" s="7"/>
    </row>
    <row r="981666" spans="8:8" x14ac:dyDescent="0.25">
      <c r="H981666" s="7"/>
    </row>
    <row r="982009" spans="8:8" x14ac:dyDescent="0.25">
      <c r="H982009" s="7"/>
    </row>
    <row r="982352" spans="8:8" x14ac:dyDescent="0.25">
      <c r="H982352" s="7"/>
    </row>
    <row r="982695" spans="8:8" x14ac:dyDescent="0.25">
      <c r="H982695" s="7"/>
    </row>
    <row r="983038" spans="8:8" x14ac:dyDescent="0.25">
      <c r="H983038" s="7"/>
    </row>
    <row r="983381" spans="8:8" x14ac:dyDescent="0.25">
      <c r="H983381" s="7"/>
    </row>
    <row r="983724" spans="8:8" x14ac:dyDescent="0.25">
      <c r="H983724" s="7"/>
    </row>
    <row r="984067" spans="8:8" x14ac:dyDescent="0.25">
      <c r="H984067" s="7"/>
    </row>
    <row r="984410" spans="8:8" x14ac:dyDescent="0.25">
      <c r="H984410" s="7"/>
    </row>
    <row r="984753" spans="8:8" x14ac:dyDescent="0.25">
      <c r="H984753" s="7"/>
    </row>
    <row r="985096" spans="8:8" x14ac:dyDescent="0.25">
      <c r="H985096" s="7"/>
    </row>
    <row r="985439" spans="8:8" x14ac:dyDescent="0.25">
      <c r="H985439" s="7"/>
    </row>
    <row r="985782" spans="8:8" x14ac:dyDescent="0.25">
      <c r="H985782" s="7"/>
    </row>
    <row r="986125" spans="8:8" x14ac:dyDescent="0.25">
      <c r="H986125" s="7"/>
    </row>
    <row r="986468" spans="8:8" x14ac:dyDescent="0.25">
      <c r="H986468" s="7"/>
    </row>
    <row r="986811" spans="8:8" x14ac:dyDescent="0.25">
      <c r="H986811" s="7"/>
    </row>
    <row r="987154" spans="8:8" x14ac:dyDescent="0.25">
      <c r="H987154" s="7"/>
    </row>
    <row r="987497" spans="8:8" x14ac:dyDescent="0.25">
      <c r="H987497" s="7"/>
    </row>
    <row r="987840" spans="8:8" x14ac:dyDescent="0.25">
      <c r="H987840" s="7"/>
    </row>
    <row r="988183" spans="8:8" x14ac:dyDescent="0.25">
      <c r="H988183" s="7"/>
    </row>
    <row r="988526" spans="8:8" x14ac:dyDescent="0.25">
      <c r="H988526" s="7"/>
    </row>
    <row r="988869" spans="8:8" x14ac:dyDescent="0.25">
      <c r="H988869" s="7"/>
    </row>
    <row r="989212" spans="8:8" x14ac:dyDescent="0.25">
      <c r="H989212" s="7"/>
    </row>
    <row r="989555" spans="8:8" x14ac:dyDescent="0.25">
      <c r="H989555" s="7"/>
    </row>
    <row r="989898" spans="8:8" x14ac:dyDescent="0.25">
      <c r="H989898" s="7"/>
    </row>
    <row r="990241" spans="8:8" x14ac:dyDescent="0.25">
      <c r="H990241" s="7"/>
    </row>
    <row r="990584" spans="8:8" x14ac:dyDescent="0.25">
      <c r="H990584" s="7"/>
    </row>
    <row r="990927" spans="8:8" x14ac:dyDescent="0.25">
      <c r="H990927" s="7"/>
    </row>
    <row r="991270" spans="8:8" x14ac:dyDescent="0.25">
      <c r="H991270" s="7"/>
    </row>
    <row r="991613" spans="8:8" x14ac:dyDescent="0.25">
      <c r="H991613" s="7"/>
    </row>
    <row r="991956" spans="8:8" x14ac:dyDescent="0.25">
      <c r="H991956" s="7"/>
    </row>
    <row r="992299" spans="8:8" x14ac:dyDescent="0.25">
      <c r="H992299" s="7"/>
    </row>
    <row r="992642" spans="8:8" x14ac:dyDescent="0.25">
      <c r="H992642" s="7"/>
    </row>
    <row r="992985" spans="8:8" x14ac:dyDescent="0.25">
      <c r="H992985" s="7"/>
    </row>
    <row r="993328" spans="8:8" x14ac:dyDescent="0.25">
      <c r="H993328" s="7"/>
    </row>
    <row r="993671" spans="8:8" x14ac:dyDescent="0.25">
      <c r="H993671" s="7"/>
    </row>
    <row r="994014" spans="8:8" x14ac:dyDescent="0.25">
      <c r="H994014" s="7"/>
    </row>
    <row r="994357" spans="8:8" x14ac:dyDescent="0.25">
      <c r="H994357" s="7"/>
    </row>
    <row r="994700" spans="8:8" x14ac:dyDescent="0.25">
      <c r="H994700" s="7"/>
    </row>
    <row r="995043" spans="8:8" x14ac:dyDescent="0.25">
      <c r="H995043" s="7"/>
    </row>
    <row r="995386" spans="8:8" x14ac:dyDescent="0.25">
      <c r="H995386" s="7"/>
    </row>
    <row r="995729" spans="8:8" x14ac:dyDescent="0.25">
      <c r="H995729" s="7"/>
    </row>
    <row r="996072" spans="8:8" x14ac:dyDescent="0.25">
      <c r="H996072" s="7"/>
    </row>
    <row r="996415" spans="8:8" x14ac:dyDescent="0.25">
      <c r="H996415" s="7"/>
    </row>
    <row r="996758" spans="8:8" x14ac:dyDescent="0.25">
      <c r="H996758" s="7"/>
    </row>
    <row r="997101" spans="8:8" x14ac:dyDescent="0.25">
      <c r="H997101" s="7"/>
    </row>
    <row r="997444" spans="8:8" x14ac:dyDescent="0.25">
      <c r="H997444" s="7"/>
    </row>
    <row r="997787" spans="8:8" x14ac:dyDescent="0.25">
      <c r="H997787" s="7"/>
    </row>
    <row r="998130" spans="8:8" x14ac:dyDescent="0.25">
      <c r="H998130" s="7"/>
    </row>
    <row r="998473" spans="8:8" x14ac:dyDescent="0.25">
      <c r="H998473" s="7"/>
    </row>
    <row r="998816" spans="8:8" x14ac:dyDescent="0.25">
      <c r="H998816" s="7"/>
    </row>
    <row r="999159" spans="8:8" x14ac:dyDescent="0.25">
      <c r="H999159" s="7"/>
    </row>
    <row r="999502" spans="8:8" x14ac:dyDescent="0.25">
      <c r="H999502" s="7"/>
    </row>
    <row r="999845" spans="8:8" x14ac:dyDescent="0.25">
      <c r="H999845" s="7"/>
    </row>
    <row r="1000188" spans="8:8" x14ac:dyDescent="0.25">
      <c r="H1000188" s="7"/>
    </row>
    <row r="1000531" spans="8:8" x14ac:dyDescent="0.25">
      <c r="H1000531" s="7"/>
    </row>
    <row r="1000874" spans="8:8" x14ac:dyDescent="0.25">
      <c r="H1000874" s="7"/>
    </row>
    <row r="1001217" spans="8:8" x14ac:dyDescent="0.25">
      <c r="H1001217" s="7"/>
    </row>
    <row r="1001560" spans="8:8" x14ac:dyDescent="0.25">
      <c r="H1001560" s="7"/>
    </row>
    <row r="1001903" spans="8:8" x14ac:dyDescent="0.25">
      <c r="H1001903" s="7"/>
    </row>
    <row r="1002246" spans="8:8" x14ac:dyDescent="0.25">
      <c r="H1002246" s="7"/>
    </row>
    <row r="1002589" spans="8:8" x14ac:dyDescent="0.25">
      <c r="H1002589" s="7"/>
    </row>
    <row r="1002932" spans="8:8" x14ac:dyDescent="0.25">
      <c r="H1002932" s="7"/>
    </row>
    <row r="1003275" spans="8:8" x14ac:dyDescent="0.25">
      <c r="H1003275" s="7"/>
    </row>
    <row r="1003618" spans="8:8" x14ac:dyDescent="0.25">
      <c r="H1003618" s="7"/>
    </row>
    <row r="1003961" spans="8:8" x14ac:dyDescent="0.25">
      <c r="H1003961" s="7"/>
    </row>
    <row r="1004304" spans="8:8" x14ac:dyDescent="0.25">
      <c r="H1004304" s="7"/>
    </row>
    <row r="1004647" spans="8:8" x14ac:dyDescent="0.25">
      <c r="H1004647" s="7"/>
    </row>
    <row r="1004990" spans="8:8" x14ac:dyDescent="0.25">
      <c r="H1004990" s="7"/>
    </row>
    <row r="1005333" spans="8:8" x14ac:dyDescent="0.25">
      <c r="H1005333" s="7"/>
    </row>
    <row r="1005676" spans="8:8" x14ac:dyDescent="0.25">
      <c r="H1005676" s="7"/>
    </row>
    <row r="1006019" spans="8:8" x14ac:dyDescent="0.25">
      <c r="H1006019" s="7"/>
    </row>
    <row r="1006362" spans="8:8" x14ac:dyDescent="0.25">
      <c r="H1006362" s="7"/>
    </row>
    <row r="1006705" spans="8:8" x14ac:dyDescent="0.25">
      <c r="H1006705" s="7"/>
    </row>
    <row r="1007048" spans="8:8" x14ac:dyDescent="0.25">
      <c r="H1007048" s="7"/>
    </row>
    <row r="1007391" spans="8:8" x14ac:dyDescent="0.25">
      <c r="H1007391" s="7"/>
    </row>
    <row r="1007734" spans="8:8" x14ac:dyDescent="0.25">
      <c r="H1007734" s="7"/>
    </row>
    <row r="1008077" spans="8:8" x14ac:dyDescent="0.25">
      <c r="H1008077" s="7"/>
    </row>
    <row r="1008420" spans="8:8" x14ac:dyDescent="0.25">
      <c r="H1008420" s="7"/>
    </row>
    <row r="1008763" spans="8:8" x14ac:dyDescent="0.25">
      <c r="H1008763" s="7"/>
    </row>
    <row r="1009106" spans="8:8" x14ac:dyDescent="0.25">
      <c r="H1009106" s="7"/>
    </row>
    <row r="1009449" spans="8:8" x14ac:dyDescent="0.25">
      <c r="H1009449" s="7"/>
    </row>
    <row r="1009792" spans="8:8" x14ac:dyDescent="0.25">
      <c r="H1009792" s="7"/>
    </row>
    <row r="1010135" spans="8:8" x14ac:dyDescent="0.25">
      <c r="H1010135" s="7"/>
    </row>
    <row r="1010478" spans="8:8" x14ac:dyDescent="0.25">
      <c r="H1010478" s="7"/>
    </row>
    <row r="1010821" spans="8:8" x14ac:dyDescent="0.25">
      <c r="H1010821" s="7"/>
    </row>
    <row r="1011164" spans="8:8" x14ac:dyDescent="0.25">
      <c r="H1011164" s="7"/>
    </row>
    <row r="1011507" spans="8:8" x14ac:dyDescent="0.25">
      <c r="H1011507" s="7"/>
    </row>
    <row r="1011850" spans="8:8" x14ac:dyDescent="0.25">
      <c r="H1011850" s="7"/>
    </row>
    <row r="1012193" spans="8:8" x14ac:dyDescent="0.25">
      <c r="H1012193" s="7"/>
    </row>
    <row r="1012536" spans="8:8" x14ac:dyDescent="0.25">
      <c r="H1012536" s="7"/>
    </row>
    <row r="1012879" spans="8:8" x14ac:dyDescent="0.25">
      <c r="H1012879" s="7"/>
    </row>
    <row r="1013222" spans="8:8" x14ac:dyDescent="0.25">
      <c r="H1013222" s="7"/>
    </row>
    <row r="1013565" spans="8:8" x14ac:dyDescent="0.25">
      <c r="H1013565" s="7"/>
    </row>
    <row r="1013908" spans="8:8" x14ac:dyDescent="0.25">
      <c r="H1013908" s="7"/>
    </row>
    <row r="1014251" spans="8:8" x14ac:dyDescent="0.25">
      <c r="H1014251" s="7"/>
    </row>
    <row r="1014594" spans="8:8" x14ac:dyDescent="0.25">
      <c r="H1014594" s="7"/>
    </row>
    <row r="1014937" spans="8:8" x14ac:dyDescent="0.25">
      <c r="H1014937" s="7"/>
    </row>
    <row r="1015280" spans="8:8" x14ac:dyDescent="0.25">
      <c r="H1015280" s="7"/>
    </row>
    <row r="1015623" spans="8:8" x14ac:dyDescent="0.25">
      <c r="H1015623" s="7"/>
    </row>
    <row r="1015966" spans="8:8" x14ac:dyDescent="0.25">
      <c r="H1015966" s="7"/>
    </row>
    <row r="1016309" spans="8:8" x14ac:dyDescent="0.25">
      <c r="H1016309" s="7"/>
    </row>
    <row r="1016652" spans="8:8" x14ac:dyDescent="0.25">
      <c r="H1016652" s="7"/>
    </row>
    <row r="1016995" spans="8:8" x14ac:dyDescent="0.25">
      <c r="H1016995" s="7"/>
    </row>
    <row r="1017338" spans="8:8" x14ac:dyDescent="0.25">
      <c r="H1017338" s="7"/>
    </row>
    <row r="1017681" spans="8:8" x14ac:dyDescent="0.25">
      <c r="H1017681" s="7"/>
    </row>
    <row r="1018024" spans="8:8" x14ac:dyDescent="0.25">
      <c r="H1018024" s="7"/>
    </row>
    <row r="1018367" spans="8:8" x14ac:dyDescent="0.25">
      <c r="H1018367" s="7"/>
    </row>
    <row r="1018710" spans="8:8" x14ac:dyDescent="0.25">
      <c r="H1018710" s="7"/>
    </row>
    <row r="1019053" spans="8:8" x14ac:dyDescent="0.25">
      <c r="H1019053" s="7"/>
    </row>
    <row r="1019396" spans="8:8" x14ac:dyDescent="0.25">
      <c r="H1019396" s="7"/>
    </row>
    <row r="1019739" spans="8:8" x14ac:dyDescent="0.25">
      <c r="H1019739" s="7"/>
    </row>
    <row r="1020082" spans="8:8" x14ac:dyDescent="0.25">
      <c r="H1020082" s="7"/>
    </row>
    <row r="1020425" spans="8:8" x14ac:dyDescent="0.25">
      <c r="H1020425" s="7"/>
    </row>
    <row r="1020768" spans="8:8" x14ac:dyDescent="0.25">
      <c r="H1020768" s="7"/>
    </row>
    <row r="1021111" spans="8:8" x14ac:dyDescent="0.25">
      <c r="H1021111" s="7"/>
    </row>
    <row r="1021454" spans="8:8" x14ac:dyDescent="0.25">
      <c r="H1021454" s="7"/>
    </row>
    <row r="1021797" spans="8:8" x14ac:dyDescent="0.25">
      <c r="H1021797" s="7"/>
    </row>
    <row r="1022140" spans="8:8" x14ac:dyDescent="0.25">
      <c r="H1022140" s="7"/>
    </row>
    <row r="1022483" spans="8:8" x14ac:dyDescent="0.25">
      <c r="H1022483" s="7"/>
    </row>
    <row r="1022826" spans="8:8" x14ac:dyDescent="0.25">
      <c r="H1022826" s="7"/>
    </row>
    <row r="1023169" spans="8:8" x14ac:dyDescent="0.25">
      <c r="H1023169" s="7"/>
    </row>
    <row r="1023512" spans="8:8" x14ac:dyDescent="0.25">
      <c r="H1023512" s="7"/>
    </row>
    <row r="1023855" spans="8:8" x14ac:dyDescent="0.25">
      <c r="H1023855" s="7"/>
    </row>
    <row r="1024198" spans="8:8" x14ac:dyDescent="0.25">
      <c r="H1024198" s="7"/>
    </row>
    <row r="1024541" spans="8:8" x14ac:dyDescent="0.25">
      <c r="H1024541" s="7"/>
    </row>
    <row r="1024884" spans="8:8" x14ac:dyDescent="0.25">
      <c r="H1024884" s="7"/>
    </row>
    <row r="1025227" spans="8:8" x14ac:dyDescent="0.25">
      <c r="H1025227" s="7"/>
    </row>
    <row r="1025570" spans="8:8" x14ac:dyDescent="0.25">
      <c r="H1025570" s="7"/>
    </row>
    <row r="1025913" spans="8:8" x14ac:dyDescent="0.25">
      <c r="H1025913" s="7"/>
    </row>
    <row r="1026256" spans="8:8" x14ac:dyDescent="0.25">
      <c r="H1026256" s="7"/>
    </row>
    <row r="1026599" spans="8:8" x14ac:dyDescent="0.25">
      <c r="H1026599" s="7"/>
    </row>
    <row r="1026942" spans="8:8" x14ac:dyDescent="0.25">
      <c r="H1026942" s="7"/>
    </row>
    <row r="1027285" spans="8:8" x14ac:dyDescent="0.25">
      <c r="H1027285" s="7"/>
    </row>
    <row r="1027628" spans="8:8" x14ac:dyDescent="0.25">
      <c r="H1027628" s="7"/>
    </row>
    <row r="1027971" spans="8:8" x14ac:dyDescent="0.25">
      <c r="H1027971" s="7"/>
    </row>
    <row r="1028314" spans="8:8" x14ac:dyDescent="0.25">
      <c r="H1028314" s="7"/>
    </row>
    <row r="1028657" spans="8:8" x14ac:dyDescent="0.25">
      <c r="H1028657" s="7"/>
    </row>
    <row r="1029000" spans="8:8" x14ac:dyDescent="0.25">
      <c r="H1029000" s="7"/>
    </row>
    <row r="1029343" spans="8:8" x14ac:dyDescent="0.25">
      <c r="H1029343" s="7"/>
    </row>
    <row r="1029686" spans="8:8" x14ac:dyDescent="0.25">
      <c r="H1029686" s="7"/>
    </row>
    <row r="1030029" spans="8:8" x14ac:dyDescent="0.25">
      <c r="H1030029" s="7"/>
    </row>
    <row r="1030372" spans="8:8" x14ac:dyDescent="0.25">
      <c r="H1030372" s="7"/>
    </row>
    <row r="1030715" spans="8:8" x14ac:dyDescent="0.25">
      <c r="H1030715" s="7"/>
    </row>
    <row r="1031058" spans="8:8" x14ac:dyDescent="0.25">
      <c r="H1031058" s="7"/>
    </row>
    <row r="1031401" spans="8:8" x14ac:dyDescent="0.25">
      <c r="H1031401" s="7"/>
    </row>
    <row r="1031744" spans="8:8" x14ac:dyDescent="0.25">
      <c r="H1031744" s="7"/>
    </row>
    <row r="1032087" spans="8:8" x14ac:dyDescent="0.25">
      <c r="H1032087" s="7"/>
    </row>
    <row r="1032430" spans="8:8" x14ac:dyDescent="0.25">
      <c r="H1032430" s="7"/>
    </row>
    <row r="1032773" spans="8:8" x14ac:dyDescent="0.25">
      <c r="H1032773" s="7"/>
    </row>
    <row r="1033116" spans="8:8" x14ac:dyDescent="0.25">
      <c r="H1033116" s="7"/>
    </row>
    <row r="1033459" spans="8:8" x14ac:dyDescent="0.25">
      <c r="H1033459" s="7"/>
    </row>
    <row r="1033802" spans="8:8" x14ac:dyDescent="0.25">
      <c r="H1033802" s="7"/>
    </row>
    <row r="1034145" spans="8:8" x14ac:dyDescent="0.25">
      <c r="H1034145" s="7"/>
    </row>
    <row r="1034488" spans="8:8" x14ac:dyDescent="0.25">
      <c r="H1034488" s="7"/>
    </row>
    <row r="1034831" spans="8:8" x14ac:dyDescent="0.25">
      <c r="H1034831" s="7"/>
    </row>
    <row r="1035174" spans="8:8" x14ac:dyDescent="0.25">
      <c r="H1035174" s="7"/>
    </row>
    <row r="1035517" spans="8:8" x14ac:dyDescent="0.25">
      <c r="H1035517" s="7"/>
    </row>
    <row r="1035860" spans="8:8" x14ac:dyDescent="0.25">
      <c r="H1035860" s="7"/>
    </row>
    <row r="1036203" spans="8:8" x14ac:dyDescent="0.25">
      <c r="H1036203" s="7"/>
    </row>
    <row r="1036546" spans="8:8" x14ac:dyDescent="0.25">
      <c r="H1036546" s="7"/>
    </row>
    <row r="1036889" spans="8:8" x14ac:dyDescent="0.25">
      <c r="H1036889" s="7"/>
    </row>
    <row r="1037232" spans="8:8" x14ac:dyDescent="0.25">
      <c r="H1037232" s="7"/>
    </row>
    <row r="1037575" spans="8:8" x14ac:dyDescent="0.25">
      <c r="H1037575" s="7"/>
    </row>
    <row r="1037918" spans="8:8" x14ac:dyDescent="0.25">
      <c r="H1037918" s="7"/>
    </row>
    <row r="1038261" spans="8:8" x14ac:dyDescent="0.25">
      <c r="H1038261" s="7"/>
    </row>
    <row r="1038604" spans="8:8" x14ac:dyDescent="0.25">
      <c r="H1038604" s="7"/>
    </row>
    <row r="1038947" spans="8:8" x14ac:dyDescent="0.25">
      <c r="H1038947" s="7"/>
    </row>
    <row r="1039290" spans="8:8" x14ac:dyDescent="0.25">
      <c r="H1039290" s="7"/>
    </row>
    <row r="1039633" spans="8:8" x14ac:dyDescent="0.25">
      <c r="H1039633" s="7"/>
    </row>
    <row r="1039976" spans="8:8" x14ac:dyDescent="0.25">
      <c r="H1039976" s="7"/>
    </row>
    <row r="1040319" spans="8:8" x14ac:dyDescent="0.25">
      <c r="H1040319" s="7"/>
    </row>
    <row r="1040662" spans="8:8" x14ac:dyDescent="0.25">
      <c r="H1040662" s="7"/>
    </row>
    <row r="1041005" spans="8:8" x14ac:dyDescent="0.25">
      <c r="H1041005" s="7"/>
    </row>
    <row r="1041348" spans="8:8" x14ac:dyDescent="0.25">
      <c r="H1041348" s="7"/>
    </row>
    <row r="1041691" spans="8:8" x14ac:dyDescent="0.25">
      <c r="H1041691" s="7"/>
    </row>
    <row r="1042034" spans="8:8" x14ac:dyDescent="0.25">
      <c r="H1042034" s="7"/>
    </row>
    <row r="1042377" spans="8:8" x14ac:dyDescent="0.25">
      <c r="H1042377" s="7"/>
    </row>
    <row r="1042720" spans="8:8" x14ac:dyDescent="0.25">
      <c r="H1042720" s="7"/>
    </row>
    <row r="1043063" spans="8:8" x14ac:dyDescent="0.25">
      <c r="H1043063" s="7"/>
    </row>
    <row r="1043406" spans="8:8" x14ac:dyDescent="0.25">
      <c r="H1043406" s="7"/>
    </row>
    <row r="1043749" spans="8:8" x14ac:dyDescent="0.25">
      <c r="H1043749" s="7"/>
    </row>
    <row r="1044092" spans="8:8" x14ac:dyDescent="0.25">
      <c r="H1044092" s="7"/>
    </row>
    <row r="1044435" spans="8:8" x14ac:dyDescent="0.25">
      <c r="H1044435" s="7"/>
    </row>
    <row r="1044778" spans="8:8" x14ac:dyDescent="0.25">
      <c r="H1044778" s="7"/>
    </row>
    <row r="1045121" spans="8:8" x14ac:dyDescent="0.25">
      <c r="H1045121" s="7"/>
    </row>
    <row r="1045464" spans="8:8" x14ac:dyDescent="0.25">
      <c r="H1045464" s="7"/>
    </row>
    <row r="1045807" spans="8:8" x14ac:dyDescent="0.25">
      <c r="H1045807" s="7"/>
    </row>
    <row r="1046150" spans="8:8" x14ac:dyDescent="0.25">
      <c r="H1046150" s="7"/>
    </row>
    <row r="1046493" spans="8:8" x14ac:dyDescent="0.25">
      <c r="H1046493" s="7"/>
    </row>
    <row r="1046836" spans="8:8" x14ac:dyDescent="0.25">
      <c r="H1046836" s="7"/>
    </row>
    <row r="1047179" spans="8:8" x14ac:dyDescent="0.25">
      <c r="H1047179" s="7"/>
    </row>
    <row r="1047522" spans="8:8" x14ac:dyDescent="0.25">
      <c r="H1047522" s="7"/>
    </row>
    <row r="1047865" spans="8:8" x14ac:dyDescent="0.25">
      <c r="H1047865" s="7"/>
    </row>
    <row r="1048208" spans="8:8" x14ac:dyDescent="0.25">
      <c r="H1048208" s="7"/>
    </row>
    <row r="1048551" spans="8:8" x14ac:dyDescent="0.25">
      <c r="H1048551" s="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6382-EE62-4C4C-82F4-C08E73F5CF22}">
  <sheetPr>
    <tabColor rgb="FF411214"/>
  </sheetPr>
  <dimension ref="A1:K344"/>
  <sheetViews>
    <sheetView showGridLines="0" workbookViewId="0">
      <selection activeCell="H3" sqref="H3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9.42578125" bestFit="1" customWidth="1"/>
    <col min="4" max="4" width="10.42578125" style="1" bestFit="1" customWidth="1"/>
    <col min="5" max="5" width="11" style="1" bestFit="1" customWidth="1"/>
    <col min="6" max="6" width="12.28515625" bestFit="1" customWidth="1"/>
    <col min="7" max="7" width="90.42578125" bestFit="1" customWidth="1"/>
    <col min="8" max="8" width="12.7109375" style="7" customWidth="1"/>
    <col min="9" max="9" width="17.28515625" bestFit="1" customWidth="1"/>
  </cols>
  <sheetData>
    <row r="1" spans="1:9" x14ac:dyDescent="0.25">
      <c r="A1" t="s">
        <v>9</v>
      </c>
      <c r="B1" t="s">
        <v>10</v>
      </c>
      <c r="C1" t="s">
        <v>11</v>
      </c>
      <c r="D1" s="1" t="s">
        <v>12</v>
      </c>
      <c r="E1" s="1" t="s">
        <v>13</v>
      </c>
      <c r="F1" t="s">
        <v>14</v>
      </c>
      <c r="G1" t="s">
        <v>15</v>
      </c>
      <c r="H1" s="5" t="s">
        <v>16</v>
      </c>
      <c r="I1" t="s">
        <v>17</v>
      </c>
    </row>
    <row r="2" spans="1:9" ht="15.75" x14ac:dyDescent="0.25">
      <c r="A2">
        <v>6579475</v>
      </c>
      <c r="B2" t="s">
        <v>18</v>
      </c>
      <c r="C2" t="s">
        <v>19</v>
      </c>
      <c r="D2" s="1">
        <v>46022</v>
      </c>
      <c r="E2" s="1">
        <v>46022</v>
      </c>
      <c r="F2" t="s">
        <v>277</v>
      </c>
      <c r="G2" s="12" t="s">
        <v>20</v>
      </c>
      <c r="H2" s="4">
        <v>16249000</v>
      </c>
      <c r="I2" t="s">
        <v>21</v>
      </c>
    </row>
    <row r="3" spans="1:9" x14ac:dyDescent="0.25">
      <c r="A3">
        <v>6579476</v>
      </c>
      <c r="B3" t="s">
        <v>18</v>
      </c>
      <c r="C3" t="s">
        <v>19</v>
      </c>
      <c r="D3" s="1">
        <v>46022</v>
      </c>
      <c r="E3" s="1">
        <v>46022</v>
      </c>
      <c r="F3" t="s">
        <v>278</v>
      </c>
      <c r="G3" s="13" t="s">
        <v>2</v>
      </c>
      <c r="H3" s="4">
        <v>7771000</v>
      </c>
      <c r="I3" t="s">
        <v>21</v>
      </c>
    </row>
    <row r="4" spans="1:9" x14ac:dyDescent="0.25">
      <c r="A4">
        <v>6579477</v>
      </c>
      <c r="B4" t="s">
        <v>18</v>
      </c>
      <c r="C4" t="s">
        <v>19</v>
      </c>
      <c r="D4" s="1">
        <v>46022</v>
      </c>
      <c r="E4" s="1">
        <v>46022</v>
      </c>
      <c r="F4" t="s">
        <v>279</v>
      </c>
      <c r="G4" s="2" t="s">
        <v>22</v>
      </c>
      <c r="H4" s="4">
        <v>879000</v>
      </c>
      <c r="I4" t="s">
        <v>21</v>
      </c>
    </row>
    <row r="5" spans="1:9" x14ac:dyDescent="0.25">
      <c r="A5">
        <v>6579478</v>
      </c>
      <c r="B5" t="s">
        <v>18</v>
      </c>
      <c r="C5" t="s">
        <v>19</v>
      </c>
      <c r="D5" s="1">
        <v>46022</v>
      </c>
      <c r="E5" s="1">
        <v>46022</v>
      </c>
      <c r="F5" t="s">
        <v>280</v>
      </c>
      <c r="G5" s="2" t="s">
        <v>23</v>
      </c>
      <c r="H5" s="4">
        <v>175000</v>
      </c>
      <c r="I5" t="s">
        <v>21</v>
      </c>
    </row>
    <row r="6" spans="1:9" x14ac:dyDescent="0.25">
      <c r="A6">
        <v>6579479</v>
      </c>
      <c r="B6" t="s">
        <v>18</v>
      </c>
      <c r="C6" t="s">
        <v>19</v>
      </c>
      <c r="D6" s="1">
        <v>46022</v>
      </c>
      <c r="E6" s="1">
        <v>46022</v>
      </c>
      <c r="F6" t="s">
        <v>281</v>
      </c>
      <c r="G6" s="14" t="s">
        <v>24</v>
      </c>
      <c r="H6" s="4">
        <v>175000</v>
      </c>
      <c r="I6" t="s">
        <v>21</v>
      </c>
    </row>
    <row r="7" spans="1:9" x14ac:dyDescent="0.25">
      <c r="A7">
        <v>6579480</v>
      </c>
      <c r="B7" t="s">
        <v>18</v>
      </c>
      <c r="C7" t="s">
        <v>19</v>
      </c>
      <c r="D7" s="1">
        <v>46022</v>
      </c>
      <c r="E7" s="1">
        <v>46022</v>
      </c>
      <c r="F7" t="s">
        <v>282</v>
      </c>
      <c r="G7" s="15" t="s">
        <v>25</v>
      </c>
      <c r="H7" s="4">
        <v>0</v>
      </c>
      <c r="I7" t="s">
        <v>21</v>
      </c>
    </row>
    <row r="8" spans="1:9" x14ac:dyDescent="0.25">
      <c r="A8">
        <v>6579481</v>
      </c>
      <c r="B8" t="s">
        <v>18</v>
      </c>
      <c r="C8" t="s">
        <v>19</v>
      </c>
      <c r="D8" s="1">
        <v>46022</v>
      </c>
      <c r="E8" s="1">
        <v>46022</v>
      </c>
      <c r="F8" t="s">
        <v>283</v>
      </c>
      <c r="G8" s="15" t="s">
        <v>26</v>
      </c>
      <c r="H8" s="4">
        <v>0</v>
      </c>
      <c r="I8" t="s">
        <v>21</v>
      </c>
    </row>
    <row r="9" spans="1:9" x14ac:dyDescent="0.25">
      <c r="A9">
        <v>6579482</v>
      </c>
      <c r="B9" t="s">
        <v>18</v>
      </c>
      <c r="C9" t="s">
        <v>19</v>
      </c>
      <c r="D9" s="1">
        <v>46022</v>
      </c>
      <c r="E9" s="1">
        <v>46022</v>
      </c>
      <c r="F9" t="s">
        <v>284</v>
      </c>
      <c r="G9" s="15" t="s">
        <v>27</v>
      </c>
      <c r="H9" s="4">
        <v>175000</v>
      </c>
      <c r="I9" t="s">
        <v>21</v>
      </c>
    </row>
    <row r="10" spans="1:9" x14ac:dyDescent="0.25">
      <c r="A10">
        <v>6579483</v>
      </c>
      <c r="B10" t="s">
        <v>18</v>
      </c>
      <c r="C10" t="s">
        <v>19</v>
      </c>
      <c r="D10" s="1">
        <v>46022</v>
      </c>
      <c r="E10" s="1">
        <v>46022</v>
      </c>
      <c r="F10" t="s">
        <v>285</v>
      </c>
      <c r="G10" s="15" t="s">
        <v>28</v>
      </c>
      <c r="H10" s="4">
        <v>0</v>
      </c>
      <c r="I10" t="s">
        <v>21</v>
      </c>
    </row>
    <row r="11" spans="1:9" x14ac:dyDescent="0.25">
      <c r="A11">
        <v>6579484</v>
      </c>
      <c r="B11" t="s">
        <v>18</v>
      </c>
      <c r="C11" t="s">
        <v>19</v>
      </c>
      <c r="D11" s="1">
        <v>46022</v>
      </c>
      <c r="E11" s="1">
        <v>46022</v>
      </c>
      <c r="F11" t="s">
        <v>286</v>
      </c>
      <c r="G11" s="14" t="s">
        <v>29</v>
      </c>
      <c r="H11" s="4">
        <v>0</v>
      </c>
      <c r="I11" t="s">
        <v>21</v>
      </c>
    </row>
    <row r="12" spans="1:9" x14ac:dyDescent="0.25">
      <c r="A12">
        <v>6579485</v>
      </c>
      <c r="B12" t="s">
        <v>18</v>
      </c>
      <c r="C12" t="s">
        <v>19</v>
      </c>
      <c r="D12" s="1">
        <v>46022</v>
      </c>
      <c r="E12" s="1">
        <v>46022</v>
      </c>
      <c r="F12" t="s">
        <v>287</v>
      </c>
      <c r="G12" s="14" t="s">
        <v>30</v>
      </c>
      <c r="H12" s="4">
        <v>0</v>
      </c>
      <c r="I12" t="s">
        <v>21</v>
      </c>
    </row>
    <row r="13" spans="1:9" x14ac:dyDescent="0.25">
      <c r="A13">
        <v>6579486</v>
      </c>
      <c r="B13" t="s">
        <v>18</v>
      </c>
      <c r="C13" t="s">
        <v>19</v>
      </c>
      <c r="D13" s="1">
        <v>46022</v>
      </c>
      <c r="E13" s="1">
        <v>46022</v>
      </c>
      <c r="F13" t="s">
        <v>288</v>
      </c>
      <c r="G13" s="2" t="s">
        <v>31</v>
      </c>
      <c r="H13" s="4">
        <v>1467000</v>
      </c>
      <c r="I13" t="s">
        <v>21</v>
      </c>
    </row>
    <row r="14" spans="1:9" x14ac:dyDescent="0.25">
      <c r="A14">
        <v>6579487</v>
      </c>
      <c r="B14" t="s">
        <v>18</v>
      </c>
      <c r="C14" t="s">
        <v>19</v>
      </c>
      <c r="D14" s="1">
        <v>46022</v>
      </c>
      <c r="E14" s="1">
        <v>46022</v>
      </c>
      <c r="F14" t="s">
        <v>289</v>
      </c>
      <c r="G14" s="14" t="s">
        <v>32</v>
      </c>
      <c r="H14" s="4">
        <v>1467000</v>
      </c>
      <c r="I14" t="s">
        <v>21</v>
      </c>
    </row>
    <row r="15" spans="1:9" x14ac:dyDescent="0.25">
      <c r="A15">
        <v>6579488</v>
      </c>
      <c r="B15" t="s">
        <v>18</v>
      </c>
      <c r="C15" t="s">
        <v>19</v>
      </c>
      <c r="D15" s="1">
        <v>46022</v>
      </c>
      <c r="E15" s="1">
        <v>46022</v>
      </c>
      <c r="F15" t="s">
        <v>290</v>
      </c>
      <c r="G15" s="14" t="s">
        <v>33</v>
      </c>
      <c r="H15" s="4">
        <v>0</v>
      </c>
      <c r="I15" t="s">
        <v>21</v>
      </c>
    </row>
    <row r="16" spans="1:9" x14ac:dyDescent="0.25">
      <c r="A16">
        <v>6579489</v>
      </c>
      <c r="B16" t="s">
        <v>18</v>
      </c>
      <c r="C16" t="s">
        <v>19</v>
      </c>
      <c r="D16" s="1">
        <v>46022</v>
      </c>
      <c r="E16" s="1">
        <v>46022</v>
      </c>
      <c r="F16" t="s">
        <v>291</v>
      </c>
      <c r="G16" s="2" t="s">
        <v>34</v>
      </c>
      <c r="H16" s="4">
        <v>1850000</v>
      </c>
      <c r="I16" t="s">
        <v>21</v>
      </c>
    </row>
    <row r="17" spans="1:11" x14ac:dyDescent="0.25">
      <c r="A17">
        <v>6579490</v>
      </c>
      <c r="B17" t="s">
        <v>18</v>
      </c>
      <c r="C17" t="s">
        <v>19</v>
      </c>
      <c r="D17" s="1">
        <v>46022</v>
      </c>
      <c r="E17" s="1">
        <v>46022</v>
      </c>
      <c r="F17" t="s">
        <v>292</v>
      </c>
      <c r="G17" s="14" t="s">
        <v>34</v>
      </c>
      <c r="H17" s="4">
        <v>1850000</v>
      </c>
      <c r="I17" t="s">
        <v>21</v>
      </c>
    </row>
    <row r="18" spans="1:11" x14ac:dyDescent="0.25">
      <c r="A18">
        <v>6579491</v>
      </c>
      <c r="B18" t="s">
        <v>18</v>
      </c>
      <c r="C18" t="s">
        <v>19</v>
      </c>
      <c r="D18" s="1">
        <v>46022</v>
      </c>
      <c r="E18" s="1">
        <v>46022</v>
      </c>
      <c r="F18" t="s">
        <v>293</v>
      </c>
      <c r="G18" s="2" t="s">
        <v>35</v>
      </c>
      <c r="H18" s="4">
        <v>0</v>
      </c>
      <c r="I18" t="s">
        <v>21</v>
      </c>
    </row>
    <row r="19" spans="1:11" x14ac:dyDescent="0.25">
      <c r="A19">
        <v>6579492</v>
      </c>
      <c r="B19" t="s">
        <v>18</v>
      </c>
      <c r="C19" t="s">
        <v>19</v>
      </c>
      <c r="D19" s="1">
        <v>46022</v>
      </c>
      <c r="E19" s="1">
        <v>46022</v>
      </c>
      <c r="F19" t="s">
        <v>294</v>
      </c>
      <c r="G19" s="2" t="s">
        <v>36</v>
      </c>
      <c r="H19" s="4">
        <v>1045000</v>
      </c>
      <c r="I19" t="s">
        <v>21</v>
      </c>
    </row>
    <row r="20" spans="1:11" x14ac:dyDescent="0.25">
      <c r="A20">
        <v>6579493</v>
      </c>
      <c r="B20" t="s">
        <v>18</v>
      </c>
      <c r="C20" t="s">
        <v>19</v>
      </c>
      <c r="D20" s="1">
        <v>46022</v>
      </c>
      <c r="E20" s="1">
        <v>46022</v>
      </c>
      <c r="F20" t="s">
        <v>295</v>
      </c>
      <c r="G20" s="14" t="s">
        <v>37</v>
      </c>
      <c r="H20" s="4">
        <v>1045000</v>
      </c>
      <c r="I20" t="s">
        <v>21</v>
      </c>
    </row>
    <row r="21" spans="1:11" x14ac:dyDescent="0.25">
      <c r="A21">
        <v>6579494</v>
      </c>
      <c r="B21" t="s">
        <v>18</v>
      </c>
      <c r="C21" t="s">
        <v>19</v>
      </c>
      <c r="D21" s="1">
        <v>46022</v>
      </c>
      <c r="E21" s="1">
        <v>46022</v>
      </c>
      <c r="F21" t="s">
        <v>296</v>
      </c>
      <c r="G21" s="15" t="s">
        <v>38</v>
      </c>
      <c r="H21" s="4">
        <v>1010000</v>
      </c>
      <c r="I21" t="s">
        <v>21</v>
      </c>
      <c r="K21" t="s">
        <v>623</v>
      </c>
    </row>
    <row r="22" spans="1:11" x14ac:dyDescent="0.25">
      <c r="A22">
        <v>6579495</v>
      </c>
      <c r="B22" t="s">
        <v>18</v>
      </c>
      <c r="C22" t="s">
        <v>19</v>
      </c>
      <c r="D22" s="1">
        <v>46022</v>
      </c>
      <c r="E22" s="1">
        <v>46022</v>
      </c>
      <c r="F22" t="s">
        <v>297</v>
      </c>
      <c r="G22" s="15" t="s">
        <v>39</v>
      </c>
      <c r="H22" s="4">
        <v>35000</v>
      </c>
      <c r="I22" t="s">
        <v>21</v>
      </c>
    </row>
    <row r="23" spans="1:11" x14ac:dyDescent="0.25">
      <c r="A23">
        <v>6579496</v>
      </c>
      <c r="B23" t="s">
        <v>18</v>
      </c>
      <c r="C23" t="s">
        <v>19</v>
      </c>
      <c r="D23" s="1">
        <v>46022</v>
      </c>
      <c r="E23" s="1">
        <v>46022</v>
      </c>
      <c r="F23" t="s">
        <v>298</v>
      </c>
      <c r="G23" s="2" t="s">
        <v>40</v>
      </c>
      <c r="H23" s="4">
        <v>165000</v>
      </c>
      <c r="I23" t="s">
        <v>21</v>
      </c>
    </row>
    <row r="24" spans="1:11" x14ac:dyDescent="0.25">
      <c r="A24">
        <v>6579497</v>
      </c>
      <c r="B24" t="s">
        <v>18</v>
      </c>
      <c r="C24" t="s">
        <v>19</v>
      </c>
      <c r="D24" s="1">
        <v>46022</v>
      </c>
      <c r="E24" s="1">
        <v>46022</v>
      </c>
      <c r="F24" t="s">
        <v>299</v>
      </c>
      <c r="G24" s="14" t="s">
        <v>40</v>
      </c>
      <c r="H24" s="4">
        <v>165000</v>
      </c>
      <c r="I24" t="s">
        <v>21</v>
      </c>
    </row>
    <row r="25" spans="1:11" x14ac:dyDescent="0.25">
      <c r="A25">
        <v>6579498</v>
      </c>
      <c r="B25" t="s">
        <v>18</v>
      </c>
      <c r="C25" t="s">
        <v>19</v>
      </c>
      <c r="D25" s="1">
        <v>46022</v>
      </c>
      <c r="E25" s="1">
        <v>46022</v>
      </c>
      <c r="F25" t="s">
        <v>300</v>
      </c>
      <c r="G25" s="2" t="s">
        <v>41</v>
      </c>
      <c r="H25" s="4">
        <v>2190000</v>
      </c>
      <c r="I25" t="s">
        <v>21</v>
      </c>
    </row>
    <row r="26" spans="1:11" x14ac:dyDescent="0.25">
      <c r="A26">
        <v>6579499</v>
      </c>
      <c r="B26" t="s">
        <v>18</v>
      </c>
      <c r="C26" t="s">
        <v>19</v>
      </c>
      <c r="D26" s="1">
        <v>46022</v>
      </c>
      <c r="E26" s="1">
        <v>46022</v>
      </c>
      <c r="F26" t="s">
        <v>301</v>
      </c>
      <c r="G26" s="14" t="s">
        <v>42</v>
      </c>
      <c r="H26" s="4">
        <v>0</v>
      </c>
      <c r="I26" t="s">
        <v>21</v>
      </c>
    </row>
    <row r="27" spans="1:11" x14ac:dyDescent="0.25">
      <c r="A27">
        <v>6579500</v>
      </c>
      <c r="B27" t="s">
        <v>18</v>
      </c>
      <c r="C27" t="s">
        <v>19</v>
      </c>
      <c r="D27" s="1">
        <v>46022</v>
      </c>
      <c r="E27" s="1">
        <v>46022</v>
      </c>
      <c r="F27" t="s">
        <v>302</v>
      </c>
      <c r="G27" s="14" t="s">
        <v>43</v>
      </c>
      <c r="H27" s="4">
        <v>1846000</v>
      </c>
      <c r="I27" t="s">
        <v>21</v>
      </c>
    </row>
    <row r="28" spans="1:11" x14ac:dyDescent="0.25">
      <c r="A28">
        <v>6579501</v>
      </c>
      <c r="B28" t="s">
        <v>18</v>
      </c>
      <c r="C28" t="s">
        <v>19</v>
      </c>
      <c r="D28" s="1">
        <v>46022</v>
      </c>
      <c r="E28" s="1">
        <v>46022</v>
      </c>
      <c r="F28" t="s">
        <v>303</v>
      </c>
      <c r="G28" s="14" t="s">
        <v>44</v>
      </c>
      <c r="H28" s="4">
        <v>344000</v>
      </c>
      <c r="I28" t="s">
        <v>21</v>
      </c>
    </row>
    <row r="29" spans="1:11" x14ac:dyDescent="0.25">
      <c r="A29">
        <v>6579502</v>
      </c>
      <c r="B29" t="s">
        <v>18</v>
      </c>
      <c r="C29" t="s">
        <v>19</v>
      </c>
      <c r="D29" s="1">
        <v>46022</v>
      </c>
      <c r="E29" s="1">
        <v>46022</v>
      </c>
      <c r="F29" t="s">
        <v>304</v>
      </c>
      <c r="G29" s="15" t="s">
        <v>44</v>
      </c>
      <c r="H29" s="4">
        <v>344000</v>
      </c>
      <c r="I29" t="s">
        <v>21</v>
      </c>
    </row>
    <row r="30" spans="1:11" x14ac:dyDescent="0.25">
      <c r="A30">
        <v>6579503</v>
      </c>
      <c r="B30" t="s">
        <v>18</v>
      </c>
      <c r="C30" t="s">
        <v>19</v>
      </c>
      <c r="D30" s="1">
        <v>46022</v>
      </c>
      <c r="E30" s="1">
        <v>46022</v>
      </c>
      <c r="F30" t="s">
        <v>305</v>
      </c>
      <c r="G30" s="15" t="s">
        <v>45</v>
      </c>
      <c r="H30" s="4">
        <v>0</v>
      </c>
      <c r="I30" t="s">
        <v>21</v>
      </c>
    </row>
    <row r="31" spans="1:11" x14ac:dyDescent="0.25">
      <c r="A31">
        <v>6579504</v>
      </c>
      <c r="B31" t="s">
        <v>18</v>
      </c>
      <c r="C31" t="s">
        <v>19</v>
      </c>
      <c r="D31" s="1">
        <v>46022</v>
      </c>
      <c r="E31" s="1">
        <v>46022</v>
      </c>
      <c r="F31" t="s">
        <v>306</v>
      </c>
      <c r="G31" s="13" t="s">
        <v>46</v>
      </c>
      <c r="H31" s="4">
        <v>8478000</v>
      </c>
      <c r="I31" t="s">
        <v>21</v>
      </c>
    </row>
    <row r="32" spans="1:11" x14ac:dyDescent="0.25">
      <c r="A32">
        <v>6579505</v>
      </c>
      <c r="B32" t="s">
        <v>18</v>
      </c>
      <c r="C32" t="s">
        <v>19</v>
      </c>
      <c r="D32" s="1">
        <v>46022</v>
      </c>
      <c r="E32" s="1">
        <v>46022</v>
      </c>
      <c r="F32" t="s">
        <v>307</v>
      </c>
      <c r="G32" s="2" t="s">
        <v>47</v>
      </c>
      <c r="H32" s="4">
        <v>4052000</v>
      </c>
      <c r="I32" t="s">
        <v>21</v>
      </c>
    </row>
    <row r="33" spans="1:9" x14ac:dyDescent="0.25">
      <c r="A33">
        <v>6579506</v>
      </c>
      <c r="B33" t="s">
        <v>18</v>
      </c>
      <c r="C33" t="s">
        <v>19</v>
      </c>
      <c r="D33" s="1">
        <v>46022</v>
      </c>
      <c r="E33" s="1">
        <v>46022</v>
      </c>
      <c r="F33" t="s">
        <v>308</v>
      </c>
      <c r="G33" s="14" t="s">
        <v>24</v>
      </c>
      <c r="H33" s="4">
        <v>0</v>
      </c>
      <c r="I33" t="s">
        <v>21</v>
      </c>
    </row>
    <row r="34" spans="1:9" x14ac:dyDescent="0.25">
      <c r="A34">
        <v>6579507</v>
      </c>
      <c r="B34" t="s">
        <v>18</v>
      </c>
      <c r="C34" t="s">
        <v>19</v>
      </c>
      <c r="D34" s="1">
        <v>46022</v>
      </c>
      <c r="E34" s="1">
        <v>46022</v>
      </c>
      <c r="F34" t="s">
        <v>309</v>
      </c>
      <c r="G34" s="15" t="s">
        <v>26</v>
      </c>
      <c r="H34" s="4">
        <v>0</v>
      </c>
      <c r="I34" t="s">
        <v>21</v>
      </c>
    </row>
    <row r="35" spans="1:9" x14ac:dyDescent="0.25">
      <c r="A35">
        <v>6579508</v>
      </c>
      <c r="B35" t="s">
        <v>18</v>
      </c>
      <c r="C35" t="s">
        <v>19</v>
      </c>
      <c r="D35" s="1">
        <v>46022</v>
      </c>
      <c r="E35" s="1">
        <v>46022</v>
      </c>
      <c r="F35" t="s">
        <v>310</v>
      </c>
      <c r="G35" s="14" t="s">
        <v>29</v>
      </c>
      <c r="H35" s="4">
        <v>0</v>
      </c>
      <c r="I35" t="s">
        <v>21</v>
      </c>
    </row>
    <row r="36" spans="1:9" x14ac:dyDescent="0.25">
      <c r="A36">
        <v>6579509</v>
      </c>
      <c r="B36" t="s">
        <v>18</v>
      </c>
      <c r="C36" t="s">
        <v>19</v>
      </c>
      <c r="D36" s="1">
        <v>46022</v>
      </c>
      <c r="E36" s="1">
        <v>46022</v>
      </c>
      <c r="F36" t="s">
        <v>311</v>
      </c>
      <c r="G36" s="14" t="s">
        <v>30</v>
      </c>
      <c r="H36" s="4">
        <v>0</v>
      </c>
      <c r="I36" t="s">
        <v>21</v>
      </c>
    </row>
    <row r="37" spans="1:9" x14ac:dyDescent="0.25">
      <c r="A37">
        <v>6579510</v>
      </c>
      <c r="B37" t="s">
        <v>18</v>
      </c>
      <c r="C37" t="s">
        <v>19</v>
      </c>
      <c r="D37" s="1">
        <v>46022</v>
      </c>
      <c r="E37" s="1">
        <v>46022</v>
      </c>
      <c r="F37" t="s">
        <v>312</v>
      </c>
      <c r="G37" s="15" t="s">
        <v>32</v>
      </c>
      <c r="H37" s="4">
        <v>0</v>
      </c>
      <c r="I37" t="s">
        <v>21</v>
      </c>
    </row>
    <row r="38" spans="1:9" x14ac:dyDescent="0.25">
      <c r="A38">
        <v>6579511</v>
      </c>
      <c r="B38" t="s">
        <v>18</v>
      </c>
      <c r="C38" t="s">
        <v>19</v>
      </c>
      <c r="D38" s="1">
        <v>46022</v>
      </c>
      <c r="E38" s="1">
        <v>46022</v>
      </c>
      <c r="F38" t="s">
        <v>313</v>
      </c>
      <c r="G38" s="15" t="s">
        <v>33</v>
      </c>
      <c r="H38" s="4">
        <v>0</v>
      </c>
      <c r="I38" t="s">
        <v>21</v>
      </c>
    </row>
    <row r="39" spans="1:9" x14ac:dyDescent="0.25">
      <c r="A39">
        <v>6579512</v>
      </c>
      <c r="B39" t="s">
        <v>18</v>
      </c>
      <c r="C39" t="s">
        <v>19</v>
      </c>
      <c r="D39" s="1">
        <v>46022</v>
      </c>
      <c r="E39" s="1">
        <v>46022</v>
      </c>
      <c r="F39" t="s">
        <v>314</v>
      </c>
      <c r="G39" s="14" t="s">
        <v>31</v>
      </c>
      <c r="H39" s="4">
        <v>0</v>
      </c>
      <c r="I39" t="s">
        <v>21</v>
      </c>
    </row>
    <row r="40" spans="1:9" x14ac:dyDescent="0.25">
      <c r="A40">
        <v>6579513</v>
      </c>
      <c r="B40" t="s">
        <v>18</v>
      </c>
      <c r="C40" t="s">
        <v>19</v>
      </c>
      <c r="D40" s="1">
        <v>46022</v>
      </c>
      <c r="E40" s="1">
        <v>46022</v>
      </c>
      <c r="F40" t="s">
        <v>315</v>
      </c>
      <c r="G40" s="15" t="s">
        <v>32</v>
      </c>
      <c r="H40" s="4">
        <v>0</v>
      </c>
      <c r="I40" t="s">
        <v>21</v>
      </c>
    </row>
    <row r="41" spans="1:9" x14ac:dyDescent="0.25">
      <c r="A41">
        <v>6579514</v>
      </c>
      <c r="B41" t="s">
        <v>18</v>
      </c>
      <c r="C41" t="s">
        <v>19</v>
      </c>
      <c r="D41" s="1">
        <v>46022</v>
      </c>
      <c r="E41" s="1">
        <v>46022</v>
      </c>
      <c r="F41" t="s">
        <v>316</v>
      </c>
      <c r="G41" s="15" t="s">
        <v>33</v>
      </c>
      <c r="H41" s="4">
        <v>0</v>
      </c>
      <c r="I41" t="s">
        <v>21</v>
      </c>
    </row>
    <row r="42" spans="1:9" x14ac:dyDescent="0.25">
      <c r="A42">
        <v>6579515</v>
      </c>
      <c r="B42" t="s">
        <v>18</v>
      </c>
      <c r="C42" t="s">
        <v>19</v>
      </c>
      <c r="D42" s="1">
        <v>46022</v>
      </c>
      <c r="E42" s="1">
        <v>46022</v>
      </c>
      <c r="F42" t="s">
        <v>317</v>
      </c>
      <c r="G42" s="14" t="s">
        <v>34</v>
      </c>
      <c r="H42" s="4">
        <v>0</v>
      </c>
      <c r="I42" t="s">
        <v>21</v>
      </c>
    </row>
    <row r="43" spans="1:9" x14ac:dyDescent="0.25">
      <c r="A43">
        <v>6579516</v>
      </c>
      <c r="B43" t="s">
        <v>18</v>
      </c>
      <c r="C43" t="s">
        <v>19</v>
      </c>
      <c r="D43" s="1">
        <v>46022</v>
      </c>
      <c r="E43" s="1">
        <v>46022</v>
      </c>
      <c r="F43" t="s">
        <v>318</v>
      </c>
      <c r="G43" s="15" t="s">
        <v>48</v>
      </c>
      <c r="H43" s="4">
        <v>0</v>
      </c>
      <c r="I43" t="s">
        <v>21</v>
      </c>
    </row>
    <row r="44" spans="1:9" x14ac:dyDescent="0.25">
      <c r="A44">
        <v>6579517</v>
      </c>
      <c r="B44" t="s">
        <v>18</v>
      </c>
      <c r="C44" t="s">
        <v>19</v>
      </c>
      <c r="D44" s="1">
        <v>46022</v>
      </c>
      <c r="E44" s="1">
        <v>46022</v>
      </c>
      <c r="F44" t="s">
        <v>319</v>
      </c>
      <c r="G44" s="15" t="s">
        <v>49</v>
      </c>
      <c r="H44" s="4">
        <v>0</v>
      </c>
      <c r="I44" t="s">
        <v>21</v>
      </c>
    </row>
    <row r="45" spans="1:9" x14ac:dyDescent="0.25">
      <c r="A45">
        <v>6579518</v>
      </c>
      <c r="B45" t="s">
        <v>18</v>
      </c>
      <c r="C45" t="s">
        <v>19</v>
      </c>
      <c r="D45" s="1">
        <v>46022</v>
      </c>
      <c r="E45" s="1">
        <v>46022</v>
      </c>
      <c r="F45" t="s">
        <v>320</v>
      </c>
      <c r="G45" s="15" t="s">
        <v>50</v>
      </c>
      <c r="H45" s="4">
        <v>0</v>
      </c>
      <c r="I45" t="s">
        <v>21</v>
      </c>
    </row>
    <row r="46" spans="1:9" x14ac:dyDescent="0.25">
      <c r="A46">
        <v>6579519</v>
      </c>
      <c r="B46" t="s">
        <v>18</v>
      </c>
      <c r="C46" t="s">
        <v>19</v>
      </c>
      <c r="D46" s="1">
        <v>46022</v>
      </c>
      <c r="E46" s="1">
        <v>46022</v>
      </c>
      <c r="F46" t="s">
        <v>321</v>
      </c>
      <c r="G46" s="14" t="s">
        <v>35</v>
      </c>
      <c r="H46" s="4">
        <v>0</v>
      </c>
      <c r="I46" t="s">
        <v>21</v>
      </c>
    </row>
    <row r="47" spans="1:9" x14ac:dyDescent="0.25">
      <c r="A47">
        <v>6579520</v>
      </c>
      <c r="B47" t="s">
        <v>18</v>
      </c>
      <c r="C47" t="s">
        <v>19</v>
      </c>
      <c r="D47" s="1">
        <v>46022</v>
      </c>
      <c r="E47" s="1">
        <v>46022</v>
      </c>
      <c r="F47" t="s">
        <v>322</v>
      </c>
      <c r="G47" s="14" t="s">
        <v>51</v>
      </c>
      <c r="H47" s="4">
        <v>74000</v>
      </c>
      <c r="I47" t="s">
        <v>21</v>
      </c>
    </row>
    <row r="48" spans="1:9" x14ac:dyDescent="0.25">
      <c r="A48">
        <v>6579521</v>
      </c>
      <c r="B48" t="s">
        <v>18</v>
      </c>
      <c r="C48" t="s">
        <v>19</v>
      </c>
      <c r="D48" s="1">
        <v>46022</v>
      </c>
      <c r="E48" s="1">
        <v>46022</v>
      </c>
      <c r="F48" t="s">
        <v>323</v>
      </c>
      <c r="G48" s="15" t="s">
        <v>52</v>
      </c>
      <c r="H48" s="4">
        <v>74000</v>
      </c>
      <c r="I48" t="s">
        <v>21</v>
      </c>
    </row>
    <row r="49" spans="1:9" x14ac:dyDescent="0.25">
      <c r="A49">
        <v>6579522</v>
      </c>
      <c r="B49" t="s">
        <v>18</v>
      </c>
      <c r="C49" t="s">
        <v>19</v>
      </c>
      <c r="D49" s="1">
        <v>46022</v>
      </c>
      <c r="E49" s="1">
        <v>46022</v>
      </c>
      <c r="F49" t="s">
        <v>324</v>
      </c>
      <c r="G49" s="14" t="s">
        <v>40</v>
      </c>
      <c r="H49" s="4">
        <v>0</v>
      </c>
      <c r="I49" t="s">
        <v>21</v>
      </c>
    </row>
    <row r="50" spans="1:9" x14ac:dyDescent="0.25">
      <c r="A50">
        <v>6579523</v>
      </c>
      <c r="B50" t="s">
        <v>18</v>
      </c>
      <c r="C50" t="s">
        <v>19</v>
      </c>
      <c r="D50" s="1">
        <v>46022</v>
      </c>
      <c r="E50" s="1">
        <v>46022</v>
      </c>
      <c r="F50" t="s">
        <v>325</v>
      </c>
      <c r="G50" s="14" t="s">
        <v>53</v>
      </c>
      <c r="H50" s="4">
        <v>0</v>
      </c>
      <c r="I50" t="s">
        <v>21</v>
      </c>
    </row>
    <row r="51" spans="1:9" x14ac:dyDescent="0.25">
      <c r="A51">
        <v>6579524</v>
      </c>
      <c r="B51" t="s">
        <v>18</v>
      </c>
      <c r="C51" t="s">
        <v>19</v>
      </c>
      <c r="D51" s="1">
        <v>46022</v>
      </c>
      <c r="E51" s="1">
        <v>46022</v>
      </c>
      <c r="F51" t="s">
        <v>326</v>
      </c>
      <c r="G51" s="15" t="s">
        <v>54</v>
      </c>
      <c r="H51" s="4">
        <v>0</v>
      </c>
      <c r="I51" t="s">
        <v>21</v>
      </c>
    </row>
    <row r="52" spans="1:9" x14ac:dyDescent="0.25">
      <c r="A52">
        <v>6579525</v>
      </c>
      <c r="B52" t="s">
        <v>18</v>
      </c>
      <c r="C52" t="s">
        <v>19</v>
      </c>
      <c r="D52" s="1">
        <v>46022</v>
      </c>
      <c r="E52" s="1">
        <v>46022</v>
      </c>
      <c r="F52" t="s">
        <v>327</v>
      </c>
      <c r="G52" s="15" t="s">
        <v>55</v>
      </c>
      <c r="H52" s="4">
        <v>0</v>
      </c>
      <c r="I52" t="s">
        <v>21</v>
      </c>
    </row>
    <row r="53" spans="1:9" x14ac:dyDescent="0.25">
      <c r="A53">
        <v>6579526</v>
      </c>
      <c r="B53" t="s">
        <v>18</v>
      </c>
      <c r="C53" t="s">
        <v>19</v>
      </c>
      <c r="D53" s="1">
        <v>46022</v>
      </c>
      <c r="E53" s="1">
        <v>46022</v>
      </c>
      <c r="F53" t="s">
        <v>328</v>
      </c>
      <c r="G53" s="15" t="s">
        <v>56</v>
      </c>
      <c r="H53" s="4">
        <v>0</v>
      </c>
      <c r="I53" t="s">
        <v>21</v>
      </c>
    </row>
    <row r="54" spans="1:9" x14ac:dyDescent="0.25">
      <c r="A54">
        <v>6579527</v>
      </c>
      <c r="B54" t="s">
        <v>18</v>
      </c>
      <c r="C54" t="s">
        <v>19</v>
      </c>
      <c r="D54" s="1">
        <v>46022</v>
      </c>
      <c r="E54" s="1">
        <v>46022</v>
      </c>
      <c r="F54" t="s">
        <v>329</v>
      </c>
      <c r="G54" s="15" t="s">
        <v>57</v>
      </c>
      <c r="H54" s="4">
        <v>0</v>
      </c>
      <c r="I54" t="s">
        <v>21</v>
      </c>
    </row>
    <row r="55" spans="1:9" x14ac:dyDescent="0.25">
      <c r="A55">
        <v>6579528</v>
      </c>
      <c r="B55" t="s">
        <v>18</v>
      </c>
      <c r="C55" t="s">
        <v>19</v>
      </c>
      <c r="D55" s="1">
        <v>46022</v>
      </c>
      <c r="E55" s="1">
        <v>46022</v>
      </c>
      <c r="F55" t="s">
        <v>330</v>
      </c>
      <c r="G55" s="14" t="s">
        <v>50</v>
      </c>
      <c r="H55" s="4">
        <v>3978000</v>
      </c>
      <c r="I55" t="s">
        <v>21</v>
      </c>
    </row>
    <row r="56" spans="1:9" x14ac:dyDescent="0.25">
      <c r="A56">
        <v>6579529</v>
      </c>
      <c r="B56" t="s">
        <v>18</v>
      </c>
      <c r="C56" t="s">
        <v>19</v>
      </c>
      <c r="D56" s="1">
        <v>46022</v>
      </c>
      <c r="E56" s="1">
        <v>46022</v>
      </c>
      <c r="F56" t="s">
        <v>331</v>
      </c>
      <c r="G56" s="15" t="s">
        <v>42</v>
      </c>
      <c r="H56" s="4">
        <v>0</v>
      </c>
      <c r="I56" t="s">
        <v>21</v>
      </c>
    </row>
    <row r="57" spans="1:9" x14ac:dyDescent="0.25">
      <c r="A57">
        <v>6579530</v>
      </c>
      <c r="B57" t="s">
        <v>18</v>
      </c>
      <c r="C57" t="s">
        <v>19</v>
      </c>
      <c r="D57" s="1">
        <v>46022</v>
      </c>
      <c r="E57" s="1">
        <v>46022</v>
      </c>
      <c r="F57" t="s">
        <v>332</v>
      </c>
      <c r="G57" s="15" t="s">
        <v>43</v>
      </c>
      <c r="H57" s="4">
        <v>0</v>
      </c>
      <c r="I57" t="s">
        <v>21</v>
      </c>
    </row>
    <row r="58" spans="1:9" x14ac:dyDescent="0.25">
      <c r="A58">
        <v>6579531</v>
      </c>
      <c r="B58" t="s">
        <v>18</v>
      </c>
      <c r="C58" t="s">
        <v>19</v>
      </c>
      <c r="D58" s="1">
        <v>46022</v>
      </c>
      <c r="E58" s="1">
        <v>46022</v>
      </c>
      <c r="F58" t="s">
        <v>333</v>
      </c>
      <c r="G58" s="15" t="s">
        <v>48</v>
      </c>
      <c r="H58" s="4">
        <v>739000</v>
      </c>
      <c r="I58" t="s">
        <v>21</v>
      </c>
    </row>
    <row r="59" spans="1:9" x14ac:dyDescent="0.25">
      <c r="A59">
        <v>6579532</v>
      </c>
      <c r="B59" t="s">
        <v>18</v>
      </c>
      <c r="C59" t="s">
        <v>19</v>
      </c>
      <c r="D59" s="1">
        <v>46022</v>
      </c>
      <c r="E59" s="1">
        <v>46022</v>
      </c>
      <c r="F59" t="s">
        <v>334</v>
      </c>
      <c r="G59" s="15" t="s">
        <v>49</v>
      </c>
      <c r="H59" s="4">
        <v>2883000</v>
      </c>
      <c r="I59" t="s">
        <v>21</v>
      </c>
    </row>
    <row r="60" spans="1:9" x14ac:dyDescent="0.25">
      <c r="A60">
        <v>6579533</v>
      </c>
      <c r="B60" t="s">
        <v>18</v>
      </c>
      <c r="C60" t="s">
        <v>19</v>
      </c>
      <c r="D60" s="1">
        <v>46022</v>
      </c>
      <c r="E60" s="1">
        <v>46022</v>
      </c>
      <c r="F60" t="s">
        <v>335</v>
      </c>
      <c r="G60" s="15" t="s">
        <v>50</v>
      </c>
      <c r="H60" s="4">
        <v>15000</v>
      </c>
      <c r="I60" t="s">
        <v>21</v>
      </c>
    </row>
    <row r="61" spans="1:9" x14ac:dyDescent="0.25">
      <c r="A61">
        <v>6579534</v>
      </c>
      <c r="B61" t="s">
        <v>18</v>
      </c>
      <c r="C61" t="s">
        <v>19</v>
      </c>
      <c r="D61" s="1">
        <v>46022</v>
      </c>
      <c r="E61" s="1">
        <v>46022</v>
      </c>
      <c r="F61" t="s">
        <v>336</v>
      </c>
      <c r="G61" s="15" t="s">
        <v>45</v>
      </c>
      <c r="H61" s="4">
        <v>0</v>
      </c>
      <c r="I61" t="s">
        <v>21</v>
      </c>
    </row>
    <row r="62" spans="1:9" x14ac:dyDescent="0.25">
      <c r="A62">
        <v>6579535</v>
      </c>
      <c r="B62" t="s">
        <v>18</v>
      </c>
      <c r="C62" t="s">
        <v>19</v>
      </c>
      <c r="D62" s="1">
        <v>46022</v>
      </c>
      <c r="E62" s="1">
        <v>46022</v>
      </c>
      <c r="F62" t="s">
        <v>337</v>
      </c>
      <c r="G62" s="15" t="s">
        <v>39</v>
      </c>
      <c r="H62" s="4">
        <v>341000</v>
      </c>
      <c r="I62" t="s">
        <v>21</v>
      </c>
    </row>
    <row r="63" spans="1:9" x14ac:dyDescent="0.25">
      <c r="A63">
        <v>6579536</v>
      </c>
      <c r="B63" t="s">
        <v>18</v>
      </c>
      <c r="C63" t="s">
        <v>19</v>
      </c>
      <c r="D63" s="1">
        <v>46022</v>
      </c>
      <c r="E63" s="1">
        <v>46022</v>
      </c>
      <c r="F63" t="s">
        <v>338</v>
      </c>
      <c r="G63" s="2" t="s">
        <v>58</v>
      </c>
      <c r="H63" s="4">
        <v>32000</v>
      </c>
      <c r="I63" t="s">
        <v>21</v>
      </c>
    </row>
    <row r="64" spans="1:9" x14ac:dyDescent="0.25">
      <c r="A64">
        <v>6579537</v>
      </c>
      <c r="B64" t="s">
        <v>18</v>
      </c>
      <c r="C64" t="s">
        <v>19</v>
      </c>
      <c r="D64" s="1">
        <v>46022</v>
      </c>
      <c r="E64" s="1">
        <v>46022</v>
      </c>
      <c r="F64" t="s">
        <v>339</v>
      </c>
      <c r="G64" s="14" t="s">
        <v>59</v>
      </c>
      <c r="H64" s="4">
        <v>32000</v>
      </c>
      <c r="I64" t="s">
        <v>21</v>
      </c>
    </row>
    <row r="65" spans="1:9" x14ac:dyDescent="0.25">
      <c r="A65">
        <v>6579538</v>
      </c>
      <c r="B65" t="s">
        <v>18</v>
      </c>
      <c r="C65" t="s">
        <v>19</v>
      </c>
      <c r="D65" s="1">
        <v>46022</v>
      </c>
      <c r="E65" s="1">
        <v>46022</v>
      </c>
      <c r="F65" t="s">
        <v>340</v>
      </c>
      <c r="G65" s="15" t="s">
        <v>60</v>
      </c>
      <c r="H65" s="4">
        <v>32000</v>
      </c>
      <c r="I65" t="s">
        <v>21</v>
      </c>
    </row>
    <row r="66" spans="1:9" x14ac:dyDescent="0.25">
      <c r="A66">
        <v>6579539</v>
      </c>
      <c r="B66" t="s">
        <v>18</v>
      </c>
      <c r="C66" t="s">
        <v>19</v>
      </c>
      <c r="D66" s="1">
        <v>46022</v>
      </c>
      <c r="E66" s="1">
        <v>46022</v>
      </c>
      <c r="F66" t="s">
        <v>341</v>
      </c>
      <c r="G66" s="15" t="s">
        <v>61</v>
      </c>
      <c r="H66" s="4">
        <v>0</v>
      </c>
      <c r="I66" t="s">
        <v>21</v>
      </c>
    </row>
    <row r="67" spans="1:9" x14ac:dyDescent="0.25">
      <c r="A67">
        <v>6579540</v>
      </c>
      <c r="B67" t="s">
        <v>18</v>
      </c>
      <c r="C67" t="s">
        <v>19</v>
      </c>
      <c r="D67" s="1">
        <v>46022</v>
      </c>
      <c r="E67" s="1">
        <v>46022</v>
      </c>
      <c r="F67" t="s">
        <v>342</v>
      </c>
      <c r="G67" s="15" t="s">
        <v>62</v>
      </c>
      <c r="H67" s="4">
        <v>0</v>
      </c>
      <c r="I67" t="s">
        <v>21</v>
      </c>
    </row>
    <row r="68" spans="1:9" x14ac:dyDescent="0.25">
      <c r="A68">
        <v>6579541</v>
      </c>
      <c r="B68" t="s">
        <v>18</v>
      </c>
      <c r="C68" t="s">
        <v>19</v>
      </c>
      <c r="D68" s="1">
        <v>46022</v>
      </c>
      <c r="E68" s="1">
        <v>46022</v>
      </c>
      <c r="F68" t="s">
        <v>343</v>
      </c>
      <c r="G68" s="14" t="s">
        <v>63</v>
      </c>
      <c r="H68" s="4">
        <v>0</v>
      </c>
      <c r="I68" t="s">
        <v>21</v>
      </c>
    </row>
    <row r="69" spans="1:9" x14ac:dyDescent="0.25">
      <c r="A69">
        <v>6579542</v>
      </c>
      <c r="B69" t="s">
        <v>18</v>
      </c>
      <c r="C69" t="s">
        <v>19</v>
      </c>
      <c r="D69" s="1">
        <v>46022</v>
      </c>
      <c r="E69" s="1">
        <v>46022</v>
      </c>
      <c r="F69" t="s">
        <v>344</v>
      </c>
      <c r="G69" s="2" t="s">
        <v>64</v>
      </c>
      <c r="H69" s="4">
        <v>4222000</v>
      </c>
      <c r="I69" t="s">
        <v>21</v>
      </c>
    </row>
    <row r="70" spans="1:9" x14ac:dyDescent="0.25">
      <c r="A70">
        <v>6579543</v>
      </c>
      <c r="B70" t="s">
        <v>18</v>
      </c>
      <c r="C70" t="s">
        <v>19</v>
      </c>
      <c r="D70" s="1">
        <v>46022</v>
      </c>
      <c r="E70" s="1">
        <v>46022</v>
      </c>
      <c r="F70" t="s">
        <v>345</v>
      </c>
      <c r="G70" s="14" t="s">
        <v>65</v>
      </c>
      <c r="H70" s="4">
        <v>1464000</v>
      </c>
      <c r="I70" t="s">
        <v>21</v>
      </c>
    </row>
    <row r="71" spans="1:9" x14ac:dyDescent="0.25">
      <c r="A71">
        <v>6579544</v>
      </c>
      <c r="B71" t="s">
        <v>18</v>
      </c>
      <c r="C71" t="s">
        <v>19</v>
      </c>
      <c r="D71" s="1">
        <v>46022</v>
      </c>
      <c r="E71" s="1">
        <v>46022</v>
      </c>
      <c r="F71" t="s">
        <v>346</v>
      </c>
      <c r="G71" s="14" t="s">
        <v>66</v>
      </c>
      <c r="H71" s="4">
        <v>2758000</v>
      </c>
      <c r="I71" t="s">
        <v>21</v>
      </c>
    </row>
    <row r="72" spans="1:9" x14ac:dyDescent="0.25">
      <c r="A72">
        <v>6579545</v>
      </c>
      <c r="B72" t="s">
        <v>18</v>
      </c>
      <c r="C72" t="s">
        <v>19</v>
      </c>
      <c r="D72" s="1">
        <v>46022</v>
      </c>
      <c r="E72" s="1">
        <v>46022</v>
      </c>
      <c r="F72" t="s">
        <v>347</v>
      </c>
      <c r="G72" s="15" t="s">
        <v>67</v>
      </c>
      <c r="H72" s="4">
        <v>2758000</v>
      </c>
      <c r="I72" t="s">
        <v>21</v>
      </c>
    </row>
    <row r="73" spans="1:9" x14ac:dyDescent="0.25">
      <c r="A73">
        <v>6579546</v>
      </c>
      <c r="B73" t="s">
        <v>18</v>
      </c>
      <c r="C73" t="s">
        <v>19</v>
      </c>
      <c r="D73" s="1">
        <v>46022</v>
      </c>
      <c r="E73" s="1">
        <v>46022</v>
      </c>
      <c r="F73" t="s">
        <v>348</v>
      </c>
      <c r="G73" s="14" t="s">
        <v>68</v>
      </c>
      <c r="H73" s="4">
        <v>0</v>
      </c>
      <c r="I73" t="s">
        <v>21</v>
      </c>
    </row>
    <row r="74" spans="1:9" x14ac:dyDescent="0.25">
      <c r="A74">
        <v>6579547</v>
      </c>
      <c r="B74" t="s">
        <v>18</v>
      </c>
      <c r="C74" t="s">
        <v>19</v>
      </c>
      <c r="D74" s="1">
        <v>46022</v>
      </c>
      <c r="E74" s="1">
        <v>46022</v>
      </c>
      <c r="F74" t="s">
        <v>349</v>
      </c>
      <c r="G74" s="2" t="s">
        <v>69</v>
      </c>
      <c r="H74" s="4">
        <v>172000</v>
      </c>
      <c r="I74" t="s">
        <v>21</v>
      </c>
    </row>
    <row r="75" spans="1:9" x14ac:dyDescent="0.25">
      <c r="A75">
        <v>6579548</v>
      </c>
      <c r="B75" t="s">
        <v>18</v>
      </c>
      <c r="C75" t="s">
        <v>19</v>
      </c>
      <c r="D75" s="1">
        <v>46022</v>
      </c>
      <c r="E75" s="1">
        <v>46022</v>
      </c>
      <c r="F75" t="s">
        <v>350</v>
      </c>
      <c r="G75" s="14" t="s">
        <v>70</v>
      </c>
      <c r="H75" s="4">
        <v>172000</v>
      </c>
      <c r="I75" t="s">
        <v>21</v>
      </c>
    </row>
    <row r="76" spans="1:9" x14ac:dyDescent="0.25">
      <c r="A76">
        <v>6579549</v>
      </c>
      <c r="B76" t="s">
        <v>18</v>
      </c>
      <c r="C76" t="s">
        <v>19</v>
      </c>
      <c r="D76" s="1">
        <v>46022</v>
      </c>
      <c r="E76" s="1">
        <v>46022</v>
      </c>
      <c r="F76" t="s">
        <v>351</v>
      </c>
      <c r="G76" s="15" t="s">
        <v>71</v>
      </c>
      <c r="H76" s="4">
        <v>0</v>
      </c>
      <c r="I76" t="s">
        <v>21</v>
      </c>
    </row>
    <row r="77" spans="1:9" x14ac:dyDescent="0.25">
      <c r="A77">
        <v>6579550</v>
      </c>
      <c r="B77" t="s">
        <v>18</v>
      </c>
      <c r="C77" t="s">
        <v>19</v>
      </c>
      <c r="D77" s="1">
        <v>46022</v>
      </c>
      <c r="E77" s="1">
        <v>46022</v>
      </c>
      <c r="F77" t="s">
        <v>352</v>
      </c>
      <c r="G77" s="14" t="s">
        <v>72</v>
      </c>
      <c r="H77" s="4">
        <v>0</v>
      </c>
      <c r="I77" t="s">
        <v>21</v>
      </c>
    </row>
    <row r="78" spans="1:9" ht="15.75" x14ac:dyDescent="0.25">
      <c r="A78">
        <v>6579551</v>
      </c>
      <c r="B78" t="s">
        <v>18</v>
      </c>
      <c r="C78" t="s">
        <v>19</v>
      </c>
      <c r="D78" s="1">
        <v>46022</v>
      </c>
      <c r="E78" s="1">
        <v>46022</v>
      </c>
      <c r="F78" t="s">
        <v>353</v>
      </c>
      <c r="G78" s="12" t="s">
        <v>73</v>
      </c>
      <c r="H78" s="4">
        <v>16249000</v>
      </c>
      <c r="I78" t="s">
        <v>21</v>
      </c>
    </row>
    <row r="79" spans="1:9" x14ac:dyDescent="0.25">
      <c r="A79">
        <v>6579552</v>
      </c>
      <c r="B79" t="s">
        <v>18</v>
      </c>
      <c r="C79" t="s">
        <v>19</v>
      </c>
      <c r="D79" s="1">
        <v>46022</v>
      </c>
      <c r="E79" s="1">
        <v>46022</v>
      </c>
      <c r="F79" t="s">
        <v>354</v>
      </c>
      <c r="G79" s="13" t="s">
        <v>3</v>
      </c>
      <c r="H79" s="4">
        <v>4664000</v>
      </c>
      <c r="I79" t="s">
        <v>21</v>
      </c>
    </row>
    <row r="80" spans="1:9" x14ac:dyDescent="0.25">
      <c r="A80">
        <v>6579553</v>
      </c>
      <c r="B80" t="s">
        <v>18</v>
      </c>
      <c r="C80" t="s">
        <v>19</v>
      </c>
      <c r="D80" s="1">
        <v>46022</v>
      </c>
      <c r="E80" s="1">
        <v>46022</v>
      </c>
      <c r="F80" t="s">
        <v>355</v>
      </c>
      <c r="G80" s="2" t="s">
        <v>74</v>
      </c>
      <c r="H80" s="4">
        <v>262000</v>
      </c>
      <c r="I80" t="s">
        <v>21</v>
      </c>
    </row>
    <row r="81" spans="1:9" x14ac:dyDescent="0.25">
      <c r="A81">
        <v>6579554</v>
      </c>
      <c r="B81" t="s">
        <v>18</v>
      </c>
      <c r="C81" t="s">
        <v>19</v>
      </c>
      <c r="D81" s="1">
        <v>46022</v>
      </c>
      <c r="E81" s="1">
        <v>46022</v>
      </c>
      <c r="F81" t="s">
        <v>356</v>
      </c>
      <c r="G81" s="14" t="s">
        <v>75</v>
      </c>
      <c r="H81" s="4">
        <v>0</v>
      </c>
      <c r="I81" t="s">
        <v>21</v>
      </c>
    </row>
    <row r="82" spans="1:9" x14ac:dyDescent="0.25">
      <c r="A82">
        <v>6579555</v>
      </c>
      <c r="B82" t="s">
        <v>18</v>
      </c>
      <c r="C82" t="s">
        <v>19</v>
      </c>
      <c r="D82" s="1">
        <v>46022</v>
      </c>
      <c r="E82" s="1">
        <v>46022</v>
      </c>
      <c r="F82" t="s">
        <v>357</v>
      </c>
      <c r="G82" s="14" t="s">
        <v>76</v>
      </c>
      <c r="H82" s="4">
        <v>262000</v>
      </c>
      <c r="I82" t="s">
        <v>21</v>
      </c>
    </row>
    <row r="83" spans="1:9" x14ac:dyDescent="0.25">
      <c r="A83">
        <v>6579556</v>
      </c>
      <c r="B83" t="s">
        <v>18</v>
      </c>
      <c r="C83" t="s">
        <v>19</v>
      </c>
      <c r="D83" s="1">
        <v>46022</v>
      </c>
      <c r="E83" s="1">
        <v>46022</v>
      </c>
      <c r="F83" t="s">
        <v>358</v>
      </c>
      <c r="G83" s="15" t="s">
        <v>77</v>
      </c>
      <c r="H83" s="4">
        <v>262000</v>
      </c>
      <c r="I83" t="s">
        <v>21</v>
      </c>
    </row>
    <row r="84" spans="1:9" x14ac:dyDescent="0.25">
      <c r="A84">
        <v>6579557</v>
      </c>
      <c r="B84" t="s">
        <v>18</v>
      </c>
      <c r="C84" t="s">
        <v>19</v>
      </c>
      <c r="D84" s="1">
        <v>46022</v>
      </c>
      <c r="E84" s="1">
        <v>46022</v>
      </c>
      <c r="F84" t="s">
        <v>359</v>
      </c>
      <c r="G84" s="2" t="s">
        <v>78</v>
      </c>
      <c r="H84" s="4">
        <v>2461000</v>
      </c>
      <c r="I84" t="s">
        <v>21</v>
      </c>
    </row>
    <row r="85" spans="1:9" x14ac:dyDescent="0.25">
      <c r="A85">
        <v>6579558</v>
      </c>
      <c r="B85" t="s">
        <v>18</v>
      </c>
      <c r="C85" t="s">
        <v>19</v>
      </c>
      <c r="D85" s="1">
        <v>46022</v>
      </c>
      <c r="E85" s="1">
        <v>46022</v>
      </c>
      <c r="F85" t="s">
        <v>360</v>
      </c>
      <c r="G85" s="14" t="s">
        <v>79</v>
      </c>
      <c r="H85" s="4">
        <v>2461000</v>
      </c>
      <c r="I85" t="s">
        <v>21</v>
      </c>
    </row>
    <row r="86" spans="1:9" x14ac:dyDescent="0.25">
      <c r="A86">
        <v>6579559</v>
      </c>
      <c r="B86" t="s">
        <v>18</v>
      </c>
      <c r="C86" t="s">
        <v>19</v>
      </c>
      <c r="D86" s="1">
        <v>46022</v>
      </c>
      <c r="E86" s="1">
        <v>46022</v>
      </c>
      <c r="F86" t="s">
        <v>361</v>
      </c>
      <c r="G86" s="15" t="s">
        <v>79</v>
      </c>
      <c r="H86" s="4">
        <v>2461000</v>
      </c>
      <c r="I86" t="s">
        <v>21</v>
      </c>
    </row>
    <row r="87" spans="1:9" x14ac:dyDescent="0.25">
      <c r="A87">
        <v>6579560</v>
      </c>
      <c r="B87" t="s">
        <v>18</v>
      </c>
      <c r="C87" t="s">
        <v>19</v>
      </c>
      <c r="D87" s="1">
        <v>46022</v>
      </c>
      <c r="E87" s="1">
        <v>46022</v>
      </c>
      <c r="F87" t="s">
        <v>362</v>
      </c>
      <c r="G87" s="14" t="s">
        <v>80</v>
      </c>
      <c r="H87" s="4">
        <v>0</v>
      </c>
      <c r="I87" t="s">
        <v>21</v>
      </c>
    </row>
    <row r="88" spans="1:9" x14ac:dyDescent="0.25">
      <c r="A88">
        <v>6579561</v>
      </c>
      <c r="B88" t="s">
        <v>18</v>
      </c>
      <c r="C88" t="s">
        <v>19</v>
      </c>
      <c r="D88" s="1">
        <v>46022</v>
      </c>
      <c r="E88" s="1">
        <v>46022</v>
      </c>
      <c r="F88" t="s">
        <v>363</v>
      </c>
      <c r="G88" s="2" t="s">
        <v>81</v>
      </c>
      <c r="H88" s="4">
        <v>345000</v>
      </c>
      <c r="I88" t="s">
        <v>21</v>
      </c>
    </row>
    <row r="89" spans="1:9" x14ac:dyDescent="0.25">
      <c r="A89">
        <v>6579562</v>
      </c>
      <c r="B89" t="s">
        <v>18</v>
      </c>
      <c r="C89" t="s">
        <v>19</v>
      </c>
      <c r="D89" s="1">
        <v>46022</v>
      </c>
      <c r="E89" s="1">
        <v>46022</v>
      </c>
      <c r="F89" t="s">
        <v>364</v>
      </c>
      <c r="G89" s="14" t="s">
        <v>82</v>
      </c>
      <c r="H89" s="4">
        <v>75000</v>
      </c>
      <c r="I89" t="s">
        <v>21</v>
      </c>
    </row>
    <row r="90" spans="1:9" x14ac:dyDescent="0.25">
      <c r="A90">
        <v>6579563</v>
      </c>
      <c r="B90" t="s">
        <v>18</v>
      </c>
      <c r="C90" t="s">
        <v>19</v>
      </c>
      <c r="D90" s="1">
        <v>46022</v>
      </c>
      <c r="E90" s="1">
        <v>46022</v>
      </c>
      <c r="F90" t="s">
        <v>365</v>
      </c>
      <c r="G90" s="15" t="s">
        <v>83</v>
      </c>
      <c r="H90" s="4">
        <v>2000</v>
      </c>
      <c r="I90" t="s">
        <v>21</v>
      </c>
    </row>
    <row r="91" spans="1:9" x14ac:dyDescent="0.25">
      <c r="A91">
        <v>6579564</v>
      </c>
      <c r="B91" t="s">
        <v>18</v>
      </c>
      <c r="C91" t="s">
        <v>19</v>
      </c>
      <c r="D91" s="1">
        <v>46022</v>
      </c>
      <c r="E91" s="1">
        <v>46022</v>
      </c>
      <c r="F91" t="s">
        <v>366</v>
      </c>
      <c r="G91" s="15" t="s">
        <v>84</v>
      </c>
      <c r="H91" s="4">
        <v>5000</v>
      </c>
      <c r="I91" t="s">
        <v>21</v>
      </c>
    </row>
    <row r="92" spans="1:9" x14ac:dyDescent="0.25">
      <c r="A92">
        <v>6579565</v>
      </c>
      <c r="B92" t="s">
        <v>18</v>
      </c>
      <c r="C92" t="s">
        <v>19</v>
      </c>
      <c r="D92" s="1">
        <v>46022</v>
      </c>
      <c r="E92" s="1">
        <v>46022</v>
      </c>
      <c r="F92" t="s">
        <v>367</v>
      </c>
      <c r="G92" s="15" t="s">
        <v>85</v>
      </c>
      <c r="H92" s="4">
        <v>0</v>
      </c>
      <c r="I92" t="s">
        <v>21</v>
      </c>
    </row>
    <row r="93" spans="1:9" x14ac:dyDescent="0.25">
      <c r="A93">
        <v>6579566</v>
      </c>
      <c r="B93" t="s">
        <v>18</v>
      </c>
      <c r="C93" t="s">
        <v>19</v>
      </c>
      <c r="D93" s="1">
        <v>46022</v>
      </c>
      <c r="E93" s="1">
        <v>46022</v>
      </c>
      <c r="F93" t="s">
        <v>368</v>
      </c>
      <c r="G93" s="15" t="s">
        <v>86</v>
      </c>
      <c r="H93" s="4">
        <v>0</v>
      </c>
      <c r="I93" t="s">
        <v>21</v>
      </c>
    </row>
    <row r="94" spans="1:9" x14ac:dyDescent="0.25">
      <c r="A94">
        <v>6579567</v>
      </c>
      <c r="B94" t="s">
        <v>18</v>
      </c>
      <c r="C94" t="s">
        <v>19</v>
      </c>
      <c r="D94" s="1">
        <v>46022</v>
      </c>
      <c r="E94" s="1">
        <v>46022</v>
      </c>
      <c r="F94" t="s">
        <v>369</v>
      </c>
      <c r="G94" s="15" t="s">
        <v>44</v>
      </c>
      <c r="H94" s="4">
        <v>14000</v>
      </c>
      <c r="I94" t="s">
        <v>21</v>
      </c>
    </row>
    <row r="95" spans="1:9" x14ac:dyDescent="0.25">
      <c r="A95">
        <v>6579568</v>
      </c>
      <c r="B95" t="s">
        <v>18</v>
      </c>
      <c r="C95" t="s">
        <v>19</v>
      </c>
      <c r="D95" s="1">
        <v>46022</v>
      </c>
      <c r="E95" s="1">
        <v>46022</v>
      </c>
      <c r="F95" t="s">
        <v>370</v>
      </c>
      <c r="G95" s="15" t="s">
        <v>87</v>
      </c>
      <c r="H95" s="4">
        <v>54000</v>
      </c>
      <c r="I95" t="s">
        <v>21</v>
      </c>
    </row>
    <row r="96" spans="1:9" x14ac:dyDescent="0.25">
      <c r="A96">
        <v>6579569</v>
      </c>
      <c r="B96" t="s">
        <v>18</v>
      </c>
      <c r="C96" t="s">
        <v>19</v>
      </c>
      <c r="D96" s="1">
        <v>46022</v>
      </c>
      <c r="E96" s="1">
        <v>46022</v>
      </c>
      <c r="F96" t="s">
        <v>371</v>
      </c>
      <c r="G96" s="14" t="s">
        <v>88</v>
      </c>
      <c r="H96" s="4">
        <v>265000</v>
      </c>
      <c r="I96" t="s">
        <v>21</v>
      </c>
    </row>
    <row r="97" spans="1:9" x14ac:dyDescent="0.25">
      <c r="A97">
        <v>6579570</v>
      </c>
      <c r="B97" t="s">
        <v>18</v>
      </c>
      <c r="C97" t="s">
        <v>19</v>
      </c>
      <c r="D97" s="1">
        <v>46022</v>
      </c>
      <c r="E97" s="1">
        <v>46022</v>
      </c>
      <c r="F97" t="s">
        <v>372</v>
      </c>
      <c r="G97" s="15" t="s">
        <v>89</v>
      </c>
      <c r="H97" s="4">
        <v>206000</v>
      </c>
      <c r="I97" t="s">
        <v>21</v>
      </c>
    </row>
    <row r="98" spans="1:9" x14ac:dyDescent="0.25">
      <c r="A98">
        <v>6579571</v>
      </c>
      <c r="B98" t="s">
        <v>18</v>
      </c>
      <c r="C98" t="s">
        <v>19</v>
      </c>
      <c r="D98" s="1">
        <v>46022</v>
      </c>
      <c r="E98" s="1">
        <v>46022</v>
      </c>
      <c r="F98" t="s">
        <v>373</v>
      </c>
      <c r="G98" s="15" t="s">
        <v>90</v>
      </c>
      <c r="H98" s="4">
        <v>59000</v>
      </c>
      <c r="I98" t="s">
        <v>21</v>
      </c>
    </row>
    <row r="99" spans="1:9" x14ac:dyDescent="0.25">
      <c r="A99">
        <v>6579572</v>
      </c>
      <c r="B99" t="s">
        <v>18</v>
      </c>
      <c r="C99" t="s">
        <v>19</v>
      </c>
      <c r="D99" s="1">
        <v>46022</v>
      </c>
      <c r="E99" s="1">
        <v>46022</v>
      </c>
      <c r="F99" t="s">
        <v>374</v>
      </c>
      <c r="G99" s="14" t="s">
        <v>91</v>
      </c>
      <c r="H99" s="4">
        <v>5000</v>
      </c>
      <c r="I99" t="s">
        <v>21</v>
      </c>
    </row>
    <row r="100" spans="1:9" x14ac:dyDescent="0.25">
      <c r="A100">
        <v>6579573</v>
      </c>
      <c r="B100" t="s">
        <v>18</v>
      </c>
      <c r="C100" t="s">
        <v>19</v>
      </c>
      <c r="D100" s="1">
        <v>46022</v>
      </c>
      <c r="E100" s="1">
        <v>46022</v>
      </c>
      <c r="F100" t="s">
        <v>375</v>
      </c>
      <c r="G100" s="15" t="s">
        <v>92</v>
      </c>
      <c r="H100" s="4">
        <v>5000</v>
      </c>
      <c r="I100" t="s">
        <v>21</v>
      </c>
    </row>
    <row r="101" spans="1:9" x14ac:dyDescent="0.25">
      <c r="A101">
        <v>6579574</v>
      </c>
      <c r="B101" t="s">
        <v>18</v>
      </c>
      <c r="C101" t="s">
        <v>19</v>
      </c>
      <c r="D101" s="1">
        <v>46022</v>
      </c>
      <c r="E101" s="1">
        <v>46022</v>
      </c>
      <c r="F101" t="s">
        <v>376</v>
      </c>
      <c r="G101" s="2" t="s">
        <v>93</v>
      </c>
      <c r="H101" s="4">
        <v>0</v>
      </c>
      <c r="I101" t="s">
        <v>21</v>
      </c>
    </row>
    <row r="102" spans="1:9" x14ac:dyDescent="0.25">
      <c r="A102">
        <v>6579575</v>
      </c>
      <c r="B102" t="s">
        <v>18</v>
      </c>
      <c r="C102" t="s">
        <v>19</v>
      </c>
      <c r="D102" s="1">
        <v>46022</v>
      </c>
      <c r="E102" s="1">
        <v>46022</v>
      </c>
      <c r="F102" t="s">
        <v>377</v>
      </c>
      <c r="G102" s="14" t="s">
        <v>93</v>
      </c>
      <c r="H102" s="4">
        <v>0</v>
      </c>
      <c r="I102" t="s">
        <v>21</v>
      </c>
    </row>
    <row r="103" spans="1:9" x14ac:dyDescent="0.25">
      <c r="A103">
        <v>6579576</v>
      </c>
      <c r="B103" t="s">
        <v>18</v>
      </c>
      <c r="C103" t="s">
        <v>19</v>
      </c>
      <c r="D103" s="1">
        <v>46022</v>
      </c>
      <c r="E103" s="1">
        <v>46022</v>
      </c>
      <c r="F103" t="s">
        <v>378</v>
      </c>
      <c r="G103" s="15" t="s">
        <v>94</v>
      </c>
      <c r="H103" s="4">
        <v>0</v>
      </c>
      <c r="I103" t="s">
        <v>21</v>
      </c>
    </row>
    <row r="104" spans="1:9" x14ac:dyDescent="0.25">
      <c r="A104">
        <v>6579577</v>
      </c>
      <c r="B104" t="s">
        <v>18</v>
      </c>
      <c r="C104" t="s">
        <v>19</v>
      </c>
      <c r="D104" s="1">
        <v>46022</v>
      </c>
      <c r="E104" s="1">
        <v>46022</v>
      </c>
      <c r="F104" t="s">
        <v>379</v>
      </c>
      <c r="G104" s="15" t="s">
        <v>95</v>
      </c>
      <c r="H104" s="4">
        <v>0</v>
      </c>
      <c r="I104" t="s">
        <v>21</v>
      </c>
    </row>
    <row r="105" spans="1:9" x14ac:dyDescent="0.25">
      <c r="A105">
        <v>6579578</v>
      </c>
      <c r="B105" t="s">
        <v>18</v>
      </c>
      <c r="C105" t="s">
        <v>19</v>
      </c>
      <c r="D105" s="1">
        <v>46022</v>
      </c>
      <c r="E105" s="1">
        <v>46022</v>
      </c>
      <c r="F105" t="s">
        <v>380</v>
      </c>
      <c r="G105" s="14" t="s">
        <v>96</v>
      </c>
      <c r="H105" s="4">
        <v>0</v>
      </c>
      <c r="I105" t="s">
        <v>21</v>
      </c>
    </row>
    <row r="106" spans="1:9" x14ac:dyDescent="0.25">
      <c r="A106">
        <v>6579579</v>
      </c>
      <c r="B106" t="s">
        <v>18</v>
      </c>
      <c r="C106" t="s">
        <v>19</v>
      </c>
      <c r="D106" s="1">
        <v>46022</v>
      </c>
      <c r="E106" s="1">
        <v>46022</v>
      </c>
      <c r="F106" t="s">
        <v>381</v>
      </c>
      <c r="G106" s="15" t="s">
        <v>96</v>
      </c>
      <c r="H106" s="4">
        <v>0</v>
      </c>
      <c r="I106" t="s">
        <v>21</v>
      </c>
    </row>
    <row r="107" spans="1:9" x14ac:dyDescent="0.25">
      <c r="A107">
        <v>6579580</v>
      </c>
      <c r="B107" t="s">
        <v>18</v>
      </c>
      <c r="C107" t="s">
        <v>19</v>
      </c>
      <c r="D107" s="1">
        <v>46022</v>
      </c>
      <c r="E107" s="1">
        <v>46022</v>
      </c>
      <c r="F107" t="s">
        <v>382</v>
      </c>
      <c r="G107" s="14" t="s">
        <v>97</v>
      </c>
      <c r="H107" s="4">
        <v>0</v>
      </c>
      <c r="I107" t="s">
        <v>21</v>
      </c>
    </row>
    <row r="108" spans="1:9" x14ac:dyDescent="0.25">
      <c r="A108">
        <v>6579581</v>
      </c>
      <c r="B108" t="s">
        <v>18</v>
      </c>
      <c r="C108" t="s">
        <v>19</v>
      </c>
      <c r="D108" s="1">
        <v>46022</v>
      </c>
      <c r="E108" s="1">
        <v>46022</v>
      </c>
      <c r="F108" t="s">
        <v>383</v>
      </c>
      <c r="G108" s="2" t="s">
        <v>98</v>
      </c>
      <c r="H108" s="4">
        <v>992000</v>
      </c>
      <c r="I108" t="s">
        <v>21</v>
      </c>
    </row>
    <row r="109" spans="1:9" x14ac:dyDescent="0.25">
      <c r="A109">
        <v>6579582</v>
      </c>
      <c r="B109" t="s">
        <v>18</v>
      </c>
      <c r="C109" t="s">
        <v>19</v>
      </c>
      <c r="D109" s="1">
        <v>46022</v>
      </c>
      <c r="E109" s="1">
        <v>46022</v>
      </c>
      <c r="F109" t="s">
        <v>384</v>
      </c>
      <c r="G109" s="14" t="s">
        <v>99</v>
      </c>
      <c r="H109" s="4">
        <v>0</v>
      </c>
      <c r="I109" t="s">
        <v>21</v>
      </c>
    </row>
    <row r="110" spans="1:9" x14ac:dyDescent="0.25">
      <c r="A110">
        <v>6579583</v>
      </c>
      <c r="B110" t="s">
        <v>18</v>
      </c>
      <c r="C110" t="s">
        <v>19</v>
      </c>
      <c r="D110" s="1">
        <v>46022</v>
      </c>
      <c r="E110" s="1">
        <v>46022</v>
      </c>
      <c r="F110" t="s">
        <v>385</v>
      </c>
      <c r="G110" s="15" t="s">
        <v>100</v>
      </c>
      <c r="H110" s="4">
        <v>0</v>
      </c>
      <c r="I110" t="s">
        <v>21</v>
      </c>
    </row>
    <row r="111" spans="1:9" x14ac:dyDescent="0.25">
      <c r="A111">
        <v>6579584</v>
      </c>
      <c r="B111" t="s">
        <v>18</v>
      </c>
      <c r="C111" t="s">
        <v>19</v>
      </c>
      <c r="D111" s="1">
        <v>46022</v>
      </c>
      <c r="E111" s="1">
        <v>46022</v>
      </c>
      <c r="F111" t="s">
        <v>386</v>
      </c>
      <c r="G111" s="15" t="s">
        <v>101</v>
      </c>
      <c r="H111" s="4">
        <v>0</v>
      </c>
      <c r="I111" t="s">
        <v>21</v>
      </c>
    </row>
    <row r="112" spans="1:9" x14ac:dyDescent="0.25">
      <c r="A112">
        <v>6579585</v>
      </c>
      <c r="B112" t="s">
        <v>18</v>
      </c>
      <c r="C112" t="s">
        <v>19</v>
      </c>
      <c r="D112" s="1">
        <v>46022</v>
      </c>
      <c r="E112" s="1">
        <v>46022</v>
      </c>
      <c r="F112" t="s">
        <v>387</v>
      </c>
      <c r="G112" s="15" t="s">
        <v>102</v>
      </c>
      <c r="H112" s="4">
        <v>0</v>
      </c>
      <c r="I112" t="s">
        <v>21</v>
      </c>
    </row>
    <row r="113" spans="1:9" x14ac:dyDescent="0.25">
      <c r="A113">
        <v>6579586</v>
      </c>
      <c r="B113" t="s">
        <v>18</v>
      </c>
      <c r="C113" t="s">
        <v>19</v>
      </c>
      <c r="D113" s="1">
        <v>46022</v>
      </c>
      <c r="E113" s="1">
        <v>46022</v>
      </c>
      <c r="F113" t="s">
        <v>388</v>
      </c>
      <c r="G113" s="14" t="s">
        <v>44</v>
      </c>
      <c r="H113" s="4">
        <v>992000</v>
      </c>
      <c r="I113" t="s">
        <v>21</v>
      </c>
    </row>
    <row r="114" spans="1:9" x14ac:dyDescent="0.25">
      <c r="A114">
        <v>6579587</v>
      </c>
      <c r="B114" t="s">
        <v>18</v>
      </c>
      <c r="C114" t="s">
        <v>19</v>
      </c>
      <c r="D114" s="1">
        <v>46022</v>
      </c>
      <c r="E114" s="1">
        <v>46022</v>
      </c>
      <c r="F114" t="s">
        <v>389</v>
      </c>
      <c r="G114" s="15" t="s">
        <v>103</v>
      </c>
      <c r="H114" s="4">
        <v>0</v>
      </c>
      <c r="I114" t="s">
        <v>21</v>
      </c>
    </row>
    <row r="115" spans="1:9" x14ac:dyDescent="0.25">
      <c r="A115">
        <v>6579588</v>
      </c>
      <c r="B115" t="s">
        <v>18</v>
      </c>
      <c r="C115" t="s">
        <v>19</v>
      </c>
      <c r="D115" s="1">
        <v>46022</v>
      </c>
      <c r="E115" s="1">
        <v>46022</v>
      </c>
      <c r="F115" t="s">
        <v>390</v>
      </c>
      <c r="G115" s="15" t="s">
        <v>104</v>
      </c>
      <c r="H115" s="4">
        <v>0</v>
      </c>
      <c r="I115" t="s">
        <v>21</v>
      </c>
    </row>
    <row r="116" spans="1:9" x14ac:dyDescent="0.25">
      <c r="A116">
        <v>6579589</v>
      </c>
      <c r="B116" t="s">
        <v>18</v>
      </c>
      <c r="C116" t="s">
        <v>19</v>
      </c>
      <c r="D116" s="1">
        <v>46022</v>
      </c>
      <c r="E116" s="1">
        <v>46022</v>
      </c>
      <c r="F116" t="s">
        <v>391</v>
      </c>
      <c r="G116" s="15" t="s">
        <v>105</v>
      </c>
      <c r="H116" s="4">
        <v>0</v>
      </c>
      <c r="I116" t="s">
        <v>21</v>
      </c>
    </row>
    <row r="117" spans="1:9" x14ac:dyDescent="0.25">
      <c r="A117">
        <v>6579590</v>
      </c>
      <c r="B117" t="s">
        <v>18</v>
      </c>
      <c r="C117" t="s">
        <v>19</v>
      </c>
      <c r="D117" s="1">
        <v>46022</v>
      </c>
      <c r="E117" s="1">
        <v>46022</v>
      </c>
      <c r="F117" t="s">
        <v>392</v>
      </c>
      <c r="G117" s="15" t="s">
        <v>98</v>
      </c>
      <c r="H117" s="4">
        <v>287000</v>
      </c>
      <c r="I117" t="s">
        <v>21</v>
      </c>
    </row>
    <row r="118" spans="1:9" x14ac:dyDescent="0.25">
      <c r="A118">
        <v>6579591</v>
      </c>
      <c r="B118" t="s">
        <v>18</v>
      </c>
      <c r="C118" t="s">
        <v>19</v>
      </c>
      <c r="D118" s="1">
        <v>46022</v>
      </c>
      <c r="E118" s="1">
        <v>46022</v>
      </c>
      <c r="F118" t="s">
        <v>393</v>
      </c>
      <c r="G118" s="15" t="s">
        <v>106</v>
      </c>
      <c r="H118" s="4">
        <v>0</v>
      </c>
      <c r="I118" t="s">
        <v>21</v>
      </c>
    </row>
    <row r="119" spans="1:9" x14ac:dyDescent="0.25">
      <c r="A119">
        <v>6579592</v>
      </c>
      <c r="B119" t="s">
        <v>18</v>
      </c>
      <c r="C119" t="s">
        <v>19</v>
      </c>
      <c r="D119" s="1">
        <v>46022</v>
      </c>
      <c r="E119" s="1">
        <v>46022</v>
      </c>
      <c r="F119" t="s">
        <v>394</v>
      </c>
      <c r="G119" s="15" t="s">
        <v>107</v>
      </c>
      <c r="H119" s="4">
        <v>32000</v>
      </c>
      <c r="I119" t="s">
        <v>21</v>
      </c>
    </row>
    <row r="120" spans="1:9" x14ac:dyDescent="0.25">
      <c r="A120">
        <v>6579593</v>
      </c>
      <c r="B120" t="s">
        <v>18</v>
      </c>
      <c r="C120" t="s">
        <v>19</v>
      </c>
      <c r="D120" s="1">
        <v>46022</v>
      </c>
      <c r="E120" s="1">
        <v>46022</v>
      </c>
      <c r="F120" t="s">
        <v>395</v>
      </c>
      <c r="G120" s="15" t="s">
        <v>108</v>
      </c>
      <c r="H120" s="4">
        <v>365000</v>
      </c>
      <c r="I120" t="s">
        <v>21</v>
      </c>
    </row>
    <row r="121" spans="1:9" x14ac:dyDescent="0.25">
      <c r="A121">
        <v>6579594</v>
      </c>
      <c r="B121" t="s">
        <v>18</v>
      </c>
      <c r="C121" t="s">
        <v>19</v>
      </c>
      <c r="D121" s="1">
        <v>46022</v>
      </c>
      <c r="E121" s="1">
        <v>46022</v>
      </c>
      <c r="F121" t="s">
        <v>396</v>
      </c>
      <c r="G121" s="15" t="s">
        <v>109</v>
      </c>
      <c r="H121" s="4">
        <v>0</v>
      </c>
      <c r="I121" t="s">
        <v>21</v>
      </c>
    </row>
    <row r="122" spans="1:9" x14ac:dyDescent="0.25">
      <c r="A122">
        <v>6579595</v>
      </c>
      <c r="B122" t="s">
        <v>18</v>
      </c>
      <c r="C122" t="s">
        <v>19</v>
      </c>
      <c r="D122" s="1">
        <v>46022</v>
      </c>
      <c r="E122" s="1">
        <v>46022</v>
      </c>
      <c r="F122" t="s">
        <v>397</v>
      </c>
      <c r="G122" s="15" t="s">
        <v>110</v>
      </c>
      <c r="H122" s="4">
        <v>308000</v>
      </c>
      <c r="I122" t="s">
        <v>21</v>
      </c>
    </row>
    <row r="123" spans="1:9" x14ac:dyDescent="0.25">
      <c r="A123">
        <v>6579596</v>
      </c>
      <c r="B123" t="s">
        <v>18</v>
      </c>
      <c r="C123" t="s">
        <v>19</v>
      </c>
      <c r="D123" s="1">
        <v>46022</v>
      </c>
      <c r="E123" s="1">
        <v>46022</v>
      </c>
      <c r="F123" t="s">
        <v>398</v>
      </c>
      <c r="G123" s="2" t="s">
        <v>111</v>
      </c>
      <c r="H123" s="4">
        <v>0</v>
      </c>
      <c r="I123" t="s">
        <v>21</v>
      </c>
    </row>
    <row r="124" spans="1:9" x14ac:dyDescent="0.25">
      <c r="A124">
        <v>6579597</v>
      </c>
      <c r="B124" t="s">
        <v>18</v>
      </c>
      <c r="C124" t="s">
        <v>19</v>
      </c>
      <c r="D124" s="1">
        <v>46022</v>
      </c>
      <c r="E124" s="1">
        <v>46022</v>
      </c>
      <c r="F124" t="s">
        <v>399</v>
      </c>
      <c r="G124" s="14" t="s">
        <v>112</v>
      </c>
      <c r="H124" s="4">
        <v>0</v>
      </c>
      <c r="I124" t="s">
        <v>21</v>
      </c>
    </row>
    <row r="125" spans="1:9" x14ac:dyDescent="0.25">
      <c r="A125">
        <v>6579598</v>
      </c>
      <c r="B125" t="s">
        <v>18</v>
      </c>
      <c r="C125" t="s">
        <v>19</v>
      </c>
      <c r="D125" s="1">
        <v>46022</v>
      </c>
      <c r="E125" s="1">
        <v>46022</v>
      </c>
      <c r="F125" t="s">
        <v>400</v>
      </c>
      <c r="G125" s="15" t="s">
        <v>113</v>
      </c>
      <c r="H125" s="4">
        <v>0</v>
      </c>
      <c r="I125" t="s">
        <v>21</v>
      </c>
    </row>
    <row r="126" spans="1:9" x14ac:dyDescent="0.25">
      <c r="A126">
        <v>6579599</v>
      </c>
      <c r="B126" t="s">
        <v>18</v>
      </c>
      <c r="C126" t="s">
        <v>19</v>
      </c>
      <c r="D126" s="1">
        <v>46022</v>
      </c>
      <c r="E126" s="1">
        <v>46022</v>
      </c>
      <c r="F126" t="s">
        <v>401</v>
      </c>
      <c r="G126" s="15" t="s">
        <v>114</v>
      </c>
      <c r="H126" s="4">
        <v>0</v>
      </c>
      <c r="I126" t="s">
        <v>21</v>
      </c>
    </row>
    <row r="127" spans="1:9" x14ac:dyDescent="0.25">
      <c r="A127">
        <v>6579600</v>
      </c>
      <c r="B127" t="s">
        <v>18</v>
      </c>
      <c r="C127" t="s">
        <v>19</v>
      </c>
      <c r="D127" s="1">
        <v>46022</v>
      </c>
      <c r="E127" s="1">
        <v>46022</v>
      </c>
      <c r="F127" t="s">
        <v>402</v>
      </c>
      <c r="G127" s="15" t="s">
        <v>115</v>
      </c>
      <c r="H127" s="4">
        <v>0</v>
      </c>
      <c r="I127" t="s">
        <v>21</v>
      </c>
    </row>
    <row r="128" spans="1:9" x14ac:dyDescent="0.25">
      <c r="A128">
        <v>6579601</v>
      </c>
      <c r="B128" t="s">
        <v>18</v>
      </c>
      <c r="C128" t="s">
        <v>19</v>
      </c>
      <c r="D128" s="1">
        <v>46022</v>
      </c>
      <c r="E128" s="1">
        <v>46022</v>
      </c>
      <c r="F128" t="s">
        <v>403</v>
      </c>
      <c r="G128" s="15" t="s">
        <v>116</v>
      </c>
      <c r="H128" s="4">
        <v>0</v>
      </c>
      <c r="I128" t="s">
        <v>21</v>
      </c>
    </row>
    <row r="129" spans="1:9" x14ac:dyDescent="0.25">
      <c r="A129">
        <v>6579602</v>
      </c>
      <c r="B129" t="s">
        <v>18</v>
      </c>
      <c r="C129" t="s">
        <v>19</v>
      </c>
      <c r="D129" s="1">
        <v>46022</v>
      </c>
      <c r="E129" s="1">
        <v>46022</v>
      </c>
      <c r="F129" t="s">
        <v>404</v>
      </c>
      <c r="G129" s="15" t="s">
        <v>117</v>
      </c>
      <c r="H129" s="4">
        <v>0</v>
      </c>
      <c r="I129" t="s">
        <v>21</v>
      </c>
    </row>
    <row r="130" spans="1:9" x14ac:dyDescent="0.25">
      <c r="A130">
        <v>6579603</v>
      </c>
      <c r="B130" t="s">
        <v>18</v>
      </c>
      <c r="C130" t="s">
        <v>19</v>
      </c>
      <c r="D130" s="1">
        <v>46022</v>
      </c>
      <c r="E130" s="1">
        <v>46022</v>
      </c>
      <c r="F130" t="s">
        <v>405</v>
      </c>
      <c r="G130" s="14" t="s">
        <v>118</v>
      </c>
      <c r="H130" s="4">
        <v>0</v>
      </c>
      <c r="I130" t="s">
        <v>21</v>
      </c>
    </row>
    <row r="131" spans="1:9" x14ac:dyDescent="0.25">
      <c r="A131">
        <v>6579604</v>
      </c>
      <c r="B131" t="s">
        <v>18</v>
      </c>
      <c r="C131" t="s">
        <v>19</v>
      </c>
      <c r="D131" s="1">
        <v>46022</v>
      </c>
      <c r="E131" s="1">
        <v>46022</v>
      </c>
      <c r="F131" t="s">
        <v>406</v>
      </c>
      <c r="G131" s="15" t="s">
        <v>119</v>
      </c>
      <c r="H131" s="4">
        <v>0</v>
      </c>
      <c r="I131" t="s">
        <v>21</v>
      </c>
    </row>
    <row r="132" spans="1:9" x14ac:dyDescent="0.25">
      <c r="A132">
        <v>6579605</v>
      </c>
      <c r="B132" t="s">
        <v>18</v>
      </c>
      <c r="C132" t="s">
        <v>19</v>
      </c>
      <c r="D132" s="1">
        <v>46022</v>
      </c>
      <c r="E132" s="1">
        <v>46022</v>
      </c>
      <c r="F132" t="s">
        <v>407</v>
      </c>
      <c r="G132" s="15" t="s">
        <v>120</v>
      </c>
      <c r="H132" s="4">
        <v>0</v>
      </c>
      <c r="I132" t="s">
        <v>21</v>
      </c>
    </row>
    <row r="133" spans="1:9" x14ac:dyDescent="0.25">
      <c r="A133">
        <v>6579606</v>
      </c>
      <c r="B133" t="s">
        <v>18</v>
      </c>
      <c r="C133" t="s">
        <v>19</v>
      </c>
      <c r="D133" s="1">
        <v>46022</v>
      </c>
      <c r="E133" s="1">
        <v>46022</v>
      </c>
      <c r="F133" t="s">
        <v>408</v>
      </c>
      <c r="G133" s="15" t="s">
        <v>121</v>
      </c>
      <c r="H133" s="4">
        <v>0</v>
      </c>
      <c r="I133" t="s">
        <v>21</v>
      </c>
    </row>
    <row r="134" spans="1:9" x14ac:dyDescent="0.25">
      <c r="A134">
        <v>6579607</v>
      </c>
      <c r="B134" t="s">
        <v>18</v>
      </c>
      <c r="C134" t="s">
        <v>19</v>
      </c>
      <c r="D134" s="1">
        <v>46022</v>
      </c>
      <c r="E134" s="1">
        <v>46022</v>
      </c>
      <c r="F134" t="s">
        <v>409</v>
      </c>
      <c r="G134" s="2" t="s">
        <v>122</v>
      </c>
      <c r="H134" s="4">
        <v>604000</v>
      </c>
      <c r="I134" t="s">
        <v>21</v>
      </c>
    </row>
    <row r="135" spans="1:9" x14ac:dyDescent="0.25">
      <c r="A135">
        <v>6579608</v>
      </c>
      <c r="B135" t="s">
        <v>18</v>
      </c>
      <c r="C135" t="s">
        <v>19</v>
      </c>
      <c r="D135" s="1">
        <v>46022</v>
      </c>
      <c r="E135" s="1">
        <v>46022</v>
      </c>
      <c r="F135" t="s">
        <v>410</v>
      </c>
      <c r="G135" s="14" t="s">
        <v>123</v>
      </c>
      <c r="H135" s="4">
        <v>0</v>
      </c>
      <c r="I135" t="s">
        <v>21</v>
      </c>
    </row>
    <row r="136" spans="1:9" x14ac:dyDescent="0.25">
      <c r="A136">
        <v>6579609</v>
      </c>
      <c r="B136" t="s">
        <v>18</v>
      </c>
      <c r="C136" t="s">
        <v>19</v>
      </c>
      <c r="D136" s="1">
        <v>46022</v>
      </c>
      <c r="E136" s="1">
        <v>46022</v>
      </c>
      <c r="F136" t="s">
        <v>411</v>
      </c>
      <c r="G136" s="14" t="s">
        <v>124</v>
      </c>
      <c r="H136" s="4">
        <v>604000</v>
      </c>
      <c r="I136" t="s">
        <v>21</v>
      </c>
    </row>
    <row r="137" spans="1:9" x14ac:dyDescent="0.25">
      <c r="A137">
        <v>6579610</v>
      </c>
      <c r="B137" t="s">
        <v>18</v>
      </c>
      <c r="C137" t="s">
        <v>19</v>
      </c>
      <c r="D137" s="1">
        <v>46022</v>
      </c>
      <c r="E137" s="1">
        <v>46022</v>
      </c>
      <c r="F137" t="s">
        <v>412</v>
      </c>
      <c r="G137" s="13" t="s">
        <v>125</v>
      </c>
      <c r="H137" s="4">
        <v>6826000</v>
      </c>
      <c r="I137" t="s">
        <v>21</v>
      </c>
    </row>
    <row r="138" spans="1:9" x14ac:dyDescent="0.25">
      <c r="A138">
        <v>6579611</v>
      </c>
      <c r="B138" t="s">
        <v>18</v>
      </c>
      <c r="C138" t="s">
        <v>19</v>
      </c>
      <c r="D138" s="1">
        <v>46022</v>
      </c>
      <c r="E138" s="1">
        <v>46022</v>
      </c>
      <c r="F138" t="s">
        <v>413</v>
      </c>
      <c r="G138" s="2" t="s">
        <v>93</v>
      </c>
      <c r="H138" s="4">
        <v>1995000</v>
      </c>
      <c r="I138" t="s">
        <v>21</v>
      </c>
    </row>
    <row r="139" spans="1:9" x14ac:dyDescent="0.25">
      <c r="A139">
        <v>6579612</v>
      </c>
      <c r="B139" t="s">
        <v>18</v>
      </c>
      <c r="C139" t="s">
        <v>19</v>
      </c>
      <c r="D139" s="1">
        <v>46022</v>
      </c>
      <c r="E139" s="1">
        <v>46022</v>
      </c>
      <c r="F139" t="s">
        <v>414</v>
      </c>
      <c r="G139" s="14" t="s">
        <v>93</v>
      </c>
      <c r="H139" s="4">
        <v>0</v>
      </c>
      <c r="I139" t="s">
        <v>21</v>
      </c>
    </row>
    <row r="140" spans="1:9" x14ac:dyDescent="0.25">
      <c r="A140">
        <v>6579613</v>
      </c>
      <c r="B140" t="s">
        <v>18</v>
      </c>
      <c r="C140" t="s">
        <v>19</v>
      </c>
      <c r="D140" s="1">
        <v>46022</v>
      </c>
      <c r="E140" s="1">
        <v>46022</v>
      </c>
      <c r="F140" t="s">
        <v>415</v>
      </c>
      <c r="G140" s="15" t="s">
        <v>94</v>
      </c>
      <c r="H140" s="4">
        <v>0</v>
      </c>
      <c r="I140" t="s">
        <v>21</v>
      </c>
    </row>
    <row r="141" spans="1:9" x14ac:dyDescent="0.25">
      <c r="A141">
        <v>6579614</v>
      </c>
      <c r="B141" t="s">
        <v>18</v>
      </c>
      <c r="C141" t="s">
        <v>19</v>
      </c>
      <c r="D141" s="1">
        <v>46022</v>
      </c>
      <c r="E141" s="1">
        <v>46022</v>
      </c>
      <c r="F141" t="s">
        <v>416</v>
      </c>
      <c r="G141" s="15" t="s">
        <v>95</v>
      </c>
      <c r="H141" s="4">
        <v>0</v>
      </c>
      <c r="I141" t="s">
        <v>21</v>
      </c>
    </row>
    <row r="142" spans="1:9" x14ac:dyDescent="0.25">
      <c r="A142">
        <v>6579615</v>
      </c>
      <c r="B142" t="s">
        <v>18</v>
      </c>
      <c r="C142" t="s">
        <v>19</v>
      </c>
      <c r="D142" s="1">
        <v>46022</v>
      </c>
      <c r="E142" s="1">
        <v>46022</v>
      </c>
      <c r="F142" t="s">
        <v>417</v>
      </c>
      <c r="G142" s="14" t="s">
        <v>96</v>
      </c>
      <c r="H142" s="4">
        <v>1995000</v>
      </c>
      <c r="I142" t="s">
        <v>21</v>
      </c>
    </row>
    <row r="143" spans="1:9" x14ac:dyDescent="0.25">
      <c r="A143">
        <v>6579616</v>
      </c>
      <c r="B143" t="s">
        <v>18</v>
      </c>
      <c r="C143" t="s">
        <v>19</v>
      </c>
      <c r="D143" s="1">
        <v>46022</v>
      </c>
      <c r="E143" s="1">
        <v>46022</v>
      </c>
      <c r="F143" t="s">
        <v>418</v>
      </c>
      <c r="G143" s="15" t="s">
        <v>96</v>
      </c>
      <c r="H143" s="4">
        <v>1995000</v>
      </c>
      <c r="I143" t="s">
        <v>21</v>
      </c>
    </row>
    <row r="144" spans="1:9" x14ac:dyDescent="0.25">
      <c r="A144">
        <v>6579617</v>
      </c>
      <c r="B144" t="s">
        <v>18</v>
      </c>
      <c r="C144" t="s">
        <v>19</v>
      </c>
      <c r="D144" s="1">
        <v>46022</v>
      </c>
      <c r="E144" s="1">
        <v>46022</v>
      </c>
      <c r="F144" t="s">
        <v>419</v>
      </c>
      <c r="G144" s="14" t="s">
        <v>97</v>
      </c>
      <c r="H144" s="4">
        <v>0</v>
      </c>
      <c r="I144" t="s">
        <v>21</v>
      </c>
    </row>
    <row r="145" spans="1:9" x14ac:dyDescent="0.25">
      <c r="A145">
        <v>6579618</v>
      </c>
      <c r="B145" t="s">
        <v>18</v>
      </c>
      <c r="C145" t="s">
        <v>19</v>
      </c>
      <c r="D145" s="1">
        <v>46022</v>
      </c>
      <c r="E145" s="1">
        <v>46022</v>
      </c>
      <c r="F145" t="s">
        <v>420</v>
      </c>
      <c r="G145" s="2" t="s">
        <v>98</v>
      </c>
      <c r="H145" s="4">
        <v>4130000</v>
      </c>
      <c r="I145" t="s">
        <v>21</v>
      </c>
    </row>
    <row r="146" spans="1:9" x14ac:dyDescent="0.25">
      <c r="A146">
        <v>6579619</v>
      </c>
      <c r="B146" t="s">
        <v>18</v>
      </c>
      <c r="C146" t="s">
        <v>19</v>
      </c>
      <c r="D146" s="1">
        <v>46022</v>
      </c>
      <c r="E146" s="1">
        <v>46022</v>
      </c>
      <c r="F146" t="s">
        <v>421</v>
      </c>
      <c r="G146" s="14" t="s">
        <v>99</v>
      </c>
      <c r="H146" s="4">
        <v>0</v>
      </c>
      <c r="I146" t="s">
        <v>21</v>
      </c>
    </row>
    <row r="147" spans="1:9" x14ac:dyDescent="0.25">
      <c r="A147">
        <v>6579620</v>
      </c>
      <c r="B147" t="s">
        <v>18</v>
      </c>
      <c r="C147" t="s">
        <v>19</v>
      </c>
      <c r="D147" s="1">
        <v>46022</v>
      </c>
      <c r="E147" s="1">
        <v>46022</v>
      </c>
      <c r="F147" t="s">
        <v>422</v>
      </c>
      <c r="G147" s="15" t="s">
        <v>100</v>
      </c>
      <c r="H147" s="4">
        <v>0</v>
      </c>
      <c r="I147" t="s">
        <v>21</v>
      </c>
    </row>
    <row r="148" spans="1:9" x14ac:dyDescent="0.25">
      <c r="A148">
        <v>6579621</v>
      </c>
      <c r="B148" t="s">
        <v>18</v>
      </c>
      <c r="C148" t="s">
        <v>19</v>
      </c>
      <c r="D148" s="1">
        <v>46022</v>
      </c>
      <c r="E148" s="1">
        <v>46022</v>
      </c>
      <c r="F148" t="s">
        <v>423</v>
      </c>
      <c r="G148" s="15" t="s">
        <v>101</v>
      </c>
      <c r="H148" s="4">
        <v>0</v>
      </c>
      <c r="I148" t="s">
        <v>21</v>
      </c>
    </row>
    <row r="149" spans="1:9" x14ac:dyDescent="0.25">
      <c r="A149">
        <v>6579622</v>
      </c>
      <c r="B149" t="s">
        <v>18</v>
      </c>
      <c r="C149" t="s">
        <v>19</v>
      </c>
      <c r="D149" s="1">
        <v>46022</v>
      </c>
      <c r="E149" s="1">
        <v>46022</v>
      </c>
      <c r="F149" t="s">
        <v>424</v>
      </c>
      <c r="G149" s="15" t="s">
        <v>102</v>
      </c>
      <c r="H149" s="4">
        <v>0</v>
      </c>
      <c r="I149" t="s">
        <v>21</v>
      </c>
    </row>
    <row r="150" spans="1:9" x14ac:dyDescent="0.25">
      <c r="A150">
        <v>6579623</v>
      </c>
      <c r="B150" t="s">
        <v>18</v>
      </c>
      <c r="C150" t="s">
        <v>19</v>
      </c>
      <c r="D150" s="1">
        <v>46022</v>
      </c>
      <c r="E150" s="1">
        <v>46022</v>
      </c>
      <c r="F150" t="s">
        <v>425</v>
      </c>
      <c r="G150" s="14" t="s">
        <v>44</v>
      </c>
      <c r="H150" s="4">
        <v>4130000</v>
      </c>
      <c r="I150" t="s">
        <v>21</v>
      </c>
    </row>
    <row r="151" spans="1:9" x14ac:dyDescent="0.25">
      <c r="A151">
        <v>6579624</v>
      </c>
      <c r="B151" t="s">
        <v>18</v>
      </c>
      <c r="C151" t="s">
        <v>19</v>
      </c>
      <c r="D151" s="1">
        <v>46022</v>
      </c>
      <c r="E151" s="1">
        <v>46022</v>
      </c>
      <c r="F151" t="s">
        <v>426</v>
      </c>
      <c r="G151" s="15" t="s">
        <v>105</v>
      </c>
      <c r="H151" s="4">
        <v>0</v>
      </c>
      <c r="I151" t="s">
        <v>21</v>
      </c>
    </row>
    <row r="152" spans="1:9" x14ac:dyDescent="0.25">
      <c r="A152">
        <v>6579625</v>
      </c>
      <c r="B152" t="s">
        <v>18</v>
      </c>
      <c r="C152" t="s">
        <v>19</v>
      </c>
      <c r="D152" s="1">
        <v>46022</v>
      </c>
      <c r="E152" s="1">
        <v>46022</v>
      </c>
      <c r="F152" t="s">
        <v>427</v>
      </c>
      <c r="G152" s="15" t="s">
        <v>126</v>
      </c>
      <c r="H152" s="4">
        <v>0</v>
      </c>
      <c r="I152" t="s">
        <v>21</v>
      </c>
    </row>
    <row r="153" spans="1:9" x14ac:dyDescent="0.25">
      <c r="A153">
        <v>6579626</v>
      </c>
      <c r="B153" t="s">
        <v>18</v>
      </c>
      <c r="C153" t="s">
        <v>19</v>
      </c>
      <c r="D153" s="1">
        <v>46022</v>
      </c>
      <c r="E153" s="1">
        <v>46022</v>
      </c>
      <c r="F153" t="s">
        <v>428</v>
      </c>
      <c r="G153" s="15" t="s">
        <v>98</v>
      </c>
      <c r="H153" s="4">
        <v>387000</v>
      </c>
      <c r="I153" t="s">
        <v>21</v>
      </c>
    </row>
    <row r="154" spans="1:9" x14ac:dyDescent="0.25">
      <c r="A154">
        <v>6579627</v>
      </c>
      <c r="B154" t="s">
        <v>18</v>
      </c>
      <c r="C154" t="s">
        <v>19</v>
      </c>
      <c r="D154" s="1">
        <v>46022</v>
      </c>
      <c r="E154" s="1">
        <v>46022</v>
      </c>
      <c r="F154" t="s">
        <v>429</v>
      </c>
      <c r="G154" s="15" t="s">
        <v>106</v>
      </c>
      <c r="H154" s="4">
        <v>0</v>
      </c>
      <c r="I154" t="s">
        <v>21</v>
      </c>
    </row>
    <row r="155" spans="1:9" x14ac:dyDescent="0.25">
      <c r="A155">
        <v>6579628</v>
      </c>
      <c r="B155" t="s">
        <v>18</v>
      </c>
      <c r="C155" t="s">
        <v>19</v>
      </c>
      <c r="D155" s="1">
        <v>46022</v>
      </c>
      <c r="E155" s="1">
        <v>46022</v>
      </c>
      <c r="F155" t="s">
        <v>430</v>
      </c>
      <c r="G155" s="15" t="s">
        <v>108</v>
      </c>
      <c r="H155" s="4">
        <v>3218000</v>
      </c>
      <c r="I155" t="s">
        <v>21</v>
      </c>
    </row>
    <row r="156" spans="1:9" x14ac:dyDescent="0.25">
      <c r="A156">
        <v>6579629</v>
      </c>
      <c r="B156" t="s">
        <v>18</v>
      </c>
      <c r="C156" t="s">
        <v>19</v>
      </c>
      <c r="D156" s="1">
        <v>46022</v>
      </c>
      <c r="E156" s="1">
        <v>46022</v>
      </c>
      <c r="F156" t="s">
        <v>431</v>
      </c>
      <c r="G156" s="15" t="s">
        <v>127</v>
      </c>
      <c r="H156" s="4">
        <v>0</v>
      </c>
      <c r="I156" t="s">
        <v>21</v>
      </c>
    </row>
    <row r="157" spans="1:9" x14ac:dyDescent="0.25">
      <c r="A157">
        <v>6579630</v>
      </c>
      <c r="B157" t="s">
        <v>18</v>
      </c>
      <c r="C157" t="s">
        <v>19</v>
      </c>
      <c r="D157" s="1">
        <v>46022</v>
      </c>
      <c r="E157" s="1">
        <v>46022</v>
      </c>
      <c r="F157" t="s">
        <v>432</v>
      </c>
      <c r="G157" s="15" t="s">
        <v>128</v>
      </c>
      <c r="H157" s="4">
        <v>195000</v>
      </c>
      <c r="I157" t="s">
        <v>21</v>
      </c>
    </row>
    <row r="158" spans="1:9" x14ac:dyDescent="0.25">
      <c r="A158">
        <v>6579631</v>
      </c>
      <c r="B158" t="s">
        <v>18</v>
      </c>
      <c r="C158" t="s">
        <v>19</v>
      </c>
      <c r="D158" s="1">
        <v>46022</v>
      </c>
      <c r="E158" s="1">
        <v>46022</v>
      </c>
      <c r="F158" t="s">
        <v>433</v>
      </c>
      <c r="G158" s="15" t="s">
        <v>129</v>
      </c>
      <c r="H158" s="4">
        <v>71000</v>
      </c>
      <c r="I158" t="s">
        <v>21</v>
      </c>
    </row>
    <row r="159" spans="1:9" x14ac:dyDescent="0.25">
      <c r="A159">
        <v>6579632</v>
      </c>
      <c r="B159" t="s">
        <v>18</v>
      </c>
      <c r="C159" t="s">
        <v>19</v>
      </c>
      <c r="D159" s="1">
        <v>46022</v>
      </c>
      <c r="E159" s="1">
        <v>46022</v>
      </c>
      <c r="F159" t="s">
        <v>434</v>
      </c>
      <c r="G159" s="15" t="s">
        <v>78</v>
      </c>
      <c r="H159" s="4">
        <v>259000</v>
      </c>
      <c r="I159" t="s">
        <v>21</v>
      </c>
    </row>
    <row r="160" spans="1:9" x14ac:dyDescent="0.25">
      <c r="A160">
        <v>6579633</v>
      </c>
      <c r="B160" t="s">
        <v>18</v>
      </c>
      <c r="C160" t="s">
        <v>19</v>
      </c>
      <c r="D160" s="1">
        <v>46022</v>
      </c>
      <c r="E160" s="1">
        <v>46022</v>
      </c>
      <c r="F160" t="s">
        <v>435</v>
      </c>
      <c r="G160" s="2" t="s">
        <v>51</v>
      </c>
      <c r="H160" s="4">
        <v>0</v>
      </c>
      <c r="I160" t="s">
        <v>21</v>
      </c>
    </row>
    <row r="161" spans="1:9" x14ac:dyDescent="0.25">
      <c r="A161">
        <v>6579634</v>
      </c>
      <c r="B161" t="s">
        <v>18</v>
      </c>
      <c r="C161" t="s">
        <v>19</v>
      </c>
      <c r="D161" s="1">
        <v>46022</v>
      </c>
      <c r="E161" s="1">
        <v>46022</v>
      </c>
      <c r="F161" t="s">
        <v>436</v>
      </c>
      <c r="G161" s="14" t="s">
        <v>52</v>
      </c>
      <c r="H161" s="4">
        <v>0</v>
      </c>
      <c r="I161" t="s">
        <v>21</v>
      </c>
    </row>
    <row r="162" spans="1:9" x14ac:dyDescent="0.25">
      <c r="A162">
        <v>6579635</v>
      </c>
      <c r="B162" t="s">
        <v>18</v>
      </c>
      <c r="C162" t="s">
        <v>19</v>
      </c>
      <c r="D162" s="1">
        <v>46022</v>
      </c>
      <c r="E162" s="1">
        <v>46022</v>
      </c>
      <c r="F162" t="s">
        <v>437</v>
      </c>
      <c r="G162" s="2" t="s">
        <v>111</v>
      </c>
      <c r="H162" s="4">
        <v>701000</v>
      </c>
      <c r="I162" t="s">
        <v>21</v>
      </c>
    </row>
    <row r="163" spans="1:9" x14ac:dyDescent="0.25">
      <c r="A163">
        <v>6579636</v>
      </c>
      <c r="B163" t="s">
        <v>18</v>
      </c>
      <c r="C163" t="s">
        <v>19</v>
      </c>
      <c r="D163" s="1">
        <v>46022</v>
      </c>
      <c r="E163" s="1">
        <v>46022</v>
      </c>
      <c r="F163" t="s">
        <v>438</v>
      </c>
      <c r="G163" s="14" t="s">
        <v>112</v>
      </c>
      <c r="H163" s="4">
        <v>701000</v>
      </c>
      <c r="I163" t="s">
        <v>21</v>
      </c>
    </row>
    <row r="164" spans="1:9" x14ac:dyDescent="0.25">
      <c r="A164">
        <v>6579637</v>
      </c>
      <c r="B164" t="s">
        <v>18</v>
      </c>
      <c r="C164" t="s">
        <v>19</v>
      </c>
      <c r="D164" s="1">
        <v>46022</v>
      </c>
      <c r="E164" s="1">
        <v>46022</v>
      </c>
      <c r="F164" t="s">
        <v>439</v>
      </c>
      <c r="G164" s="15" t="s">
        <v>113</v>
      </c>
      <c r="H164" s="4">
        <v>226000</v>
      </c>
      <c r="I164" t="s">
        <v>21</v>
      </c>
    </row>
    <row r="165" spans="1:9" x14ac:dyDescent="0.25">
      <c r="A165">
        <v>6579638</v>
      </c>
      <c r="B165" t="s">
        <v>18</v>
      </c>
      <c r="C165" t="s">
        <v>19</v>
      </c>
      <c r="D165" s="1">
        <v>46022</v>
      </c>
      <c r="E165" s="1">
        <v>46022</v>
      </c>
      <c r="F165" t="s">
        <v>440</v>
      </c>
      <c r="G165" s="15" t="s">
        <v>114</v>
      </c>
      <c r="H165" s="4">
        <v>179000</v>
      </c>
      <c r="I165" t="s">
        <v>21</v>
      </c>
    </row>
    <row r="166" spans="1:9" x14ac:dyDescent="0.25">
      <c r="A166">
        <v>6579639</v>
      </c>
      <c r="B166" t="s">
        <v>18</v>
      </c>
      <c r="C166" t="s">
        <v>19</v>
      </c>
      <c r="D166" s="1">
        <v>46022</v>
      </c>
      <c r="E166" s="1">
        <v>46022</v>
      </c>
      <c r="F166" t="s">
        <v>441</v>
      </c>
      <c r="G166" s="15" t="s">
        <v>115</v>
      </c>
      <c r="H166" s="4">
        <v>0</v>
      </c>
      <c r="I166" t="s">
        <v>21</v>
      </c>
    </row>
    <row r="167" spans="1:9" x14ac:dyDescent="0.25">
      <c r="A167">
        <v>6579640</v>
      </c>
      <c r="B167" t="s">
        <v>18</v>
      </c>
      <c r="C167" t="s">
        <v>19</v>
      </c>
      <c r="D167" s="1">
        <v>46022</v>
      </c>
      <c r="E167" s="1">
        <v>46022</v>
      </c>
      <c r="F167" t="s">
        <v>442</v>
      </c>
      <c r="G167" s="15" t="s">
        <v>116</v>
      </c>
      <c r="H167" s="4">
        <v>68000</v>
      </c>
      <c r="I167" t="s">
        <v>21</v>
      </c>
    </row>
    <row r="168" spans="1:9" x14ac:dyDescent="0.25">
      <c r="A168">
        <v>6579641</v>
      </c>
      <c r="B168" t="s">
        <v>18</v>
      </c>
      <c r="C168" t="s">
        <v>19</v>
      </c>
      <c r="D168" s="1">
        <v>46022</v>
      </c>
      <c r="E168" s="1">
        <v>46022</v>
      </c>
      <c r="F168" t="s">
        <v>443</v>
      </c>
      <c r="G168" s="15" t="s">
        <v>117</v>
      </c>
      <c r="H168" s="4">
        <v>228000</v>
      </c>
      <c r="I168" t="s">
        <v>21</v>
      </c>
    </row>
    <row r="169" spans="1:9" x14ac:dyDescent="0.25">
      <c r="A169">
        <v>6579642</v>
      </c>
      <c r="B169" t="s">
        <v>18</v>
      </c>
      <c r="C169" t="s">
        <v>19</v>
      </c>
      <c r="D169" s="1">
        <v>46022</v>
      </c>
      <c r="E169" s="1">
        <v>46022</v>
      </c>
      <c r="F169" t="s">
        <v>444</v>
      </c>
      <c r="G169" s="14" t="s">
        <v>118</v>
      </c>
      <c r="H169" s="4">
        <v>0</v>
      </c>
      <c r="I169" t="s">
        <v>21</v>
      </c>
    </row>
    <row r="170" spans="1:9" x14ac:dyDescent="0.25">
      <c r="A170">
        <v>6579643</v>
      </c>
      <c r="B170" t="s">
        <v>18</v>
      </c>
      <c r="C170" t="s">
        <v>19</v>
      </c>
      <c r="D170" s="1">
        <v>46022</v>
      </c>
      <c r="E170" s="1">
        <v>46022</v>
      </c>
      <c r="F170" t="s">
        <v>445</v>
      </c>
      <c r="G170" s="15" t="s">
        <v>119</v>
      </c>
      <c r="H170" s="4">
        <v>0</v>
      </c>
      <c r="I170" t="s">
        <v>21</v>
      </c>
    </row>
    <row r="171" spans="1:9" x14ac:dyDescent="0.25">
      <c r="A171">
        <v>6579644</v>
      </c>
      <c r="B171" t="s">
        <v>18</v>
      </c>
      <c r="C171" t="s">
        <v>19</v>
      </c>
      <c r="D171" s="1">
        <v>46022</v>
      </c>
      <c r="E171" s="1">
        <v>46022</v>
      </c>
      <c r="F171" t="s">
        <v>446</v>
      </c>
      <c r="G171" s="15" t="s">
        <v>120</v>
      </c>
      <c r="H171" s="4">
        <v>0</v>
      </c>
      <c r="I171" t="s">
        <v>21</v>
      </c>
    </row>
    <row r="172" spans="1:9" x14ac:dyDescent="0.25">
      <c r="A172">
        <v>6579645</v>
      </c>
      <c r="B172" t="s">
        <v>18</v>
      </c>
      <c r="C172" t="s">
        <v>19</v>
      </c>
      <c r="D172" s="1">
        <v>46022</v>
      </c>
      <c r="E172" s="1">
        <v>46022</v>
      </c>
      <c r="F172" t="s">
        <v>447</v>
      </c>
      <c r="G172" s="15" t="s">
        <v>121</v>
      </c>
      <c r="H172" s="4">
        <v>0</v>
      </c>
      <c r="I172" t="s">
        <v>21</v>
      </c>
    </row>
    <row r="173" spans="1:9" x14ac:dyDescent="0.25">
      <c r="A173">
        <v>6579646</v>
      </c>
      <c r="B173" t="s">
        <v>18</v>
      </c>
      <c r="C173" t="s">
        <v>19</v>
      </c>
      <c r="D173" s="1">
        <v>46022</v>
      </c>
      <c r="E173" s="1">
        <v>46022</v>
      </c>
      <c r="F173" t="s">
        <v>448</v>
      </c>
      <c r="G173" s="2" t="s">
        <v>122</v>
      </c>
      <c r="H173" s="4">
        <v>0</v>
      </c>
      <c r="I173" t="s">
        <v>21</v>
      </c>
    </row>
    <row r="174" spans="1:9" x14ac:dyDescent="0.25">
      <c r="A174">
        <v>6579647</v>
      </c>
      <c r="B174" t="s">
        <v>18</v>
      </c>
      <c r="C174" t="s">
        <v>19</v>
      </c>
      <c r="D174" s="1">
        <v>46022</v>
      </c>
      <c r="E174" s="1">
        <v>46022</v>
      </c>
      <c r="F174" t="s">
        <v>449</v>
      </c>
      <c r="G174" s="14" t="s">
        <v>123</v>
      </c>
      <c r="H174" s="4">
        <v>0</v>
      </c>
      <c r="I174" t="s">
        <v>21</v>
      </c>
    </row>
    <row r="175" spans="1:9" x14ac:dyDescent="0.25">
      <c r="A175">
        <v>6579648</v>
      </c>
      <c r="B175" t="s">
        <v>18</v>
      </c>
      <c r="C175" t="s">
        <v>19</v>
      </c>
      <c r="D175" s="1">
        <v>46022</v>
      </c>
      <c r="E175" s="1">
        <v>46022</v>
      </c>
      <c r="F175" t="s">
        <v>450</v>
      </c>
      <c r="G175" s="14" t="s">
        <v>124</v>
      </c>
      <c r="H175" s="4">
        <v>0</v>
      </c>
      <c r="I175" t="s">
        <v>21</v>
      </c>
    </row>
    <row r="176" spans="1:9" x14ac:dyDescent="0.25">
      <c r="A176">
        <v>6579649</v>
      </c>
      <c r="B176" t="s">
        <v>18</v>
      </c>
      <c r="C176" t="s">
        <v>19</v>
      </c>
      <c r="D176" s="1">
        <v>46022</v>
      </c>
      <c r="E176" s="1">
        <v>46022</v>
      </c>
      <c r="F176" t="s">
        <v>451</v>
      </c>
      <c r="G176" s="2" t="s">
        <v>130</v>
      </c>
      <c r="H176" s="4">
        <v>0</v>
      </c>
      <c r="I176" t="s">
        <v>21</v>
      </c>
    </row>
    <row r="177" spans="1:9" x14ac:dyDescent="0.25">
      <c r="A177">
        <v>6579650</v>
      </c>
      <c r="B177" t="s">
        <v>18</v>
      </c>
      <c r="C177" t="s">
        <v>19</v>
      </c>
      <c r="D177" s="1">
        <v>46022</v>
      </c>
      <c r="E177" s="1">
        <v>46022</v>
      </c>
      <c r="F177" t="s">
        <v>452</v>
      </c>
      <c r="G177" s="14" t="s">
        <v>131</v>
      </c>
      <c r="H177" s="4">
        <v>0</v>
      </c>
      <c r="I177" t="s">
        <v>21</v>
      </c>
    </row>
    <row r="178" spans="1:9" x14ac:dyDescent="0.25">
      <c r="A178">
        <v>6579651</v>
      </c>
      <c r="B178" t="s">
        <v>18</v>
      </c>
      <c r="C178" t="s">
        <v>19</v>
      </c>
      <c r="D178" s="1">
        <v>46022</v>
      </c>
      <c r="E178" s="1">
        <v>46022</v>
      </c>
      <c r="F178" t="s">
        <v>453</v>
      </c>
      <c r="G178" s="14" t="s">
        <v>132</v>
      </c>
      <c r="H178" s="4">
        <v>0</v>
      </c>
      <c r="I178" t="s">
        <v>21</v>
      </c>
    </row>
    <row r="179" spans="1:9" x14ac:dyDescent="0.25">
      <c r="A179">
        <v>6579652</v>
      </c>
      <c r="B179" t="s">
        <v>18</v>
      </c>
      <c r="C179" t="s">
        <v>19</v>
      </c>
      <c r="D179" s="1">
        <v>46022</v>
      </c>
      <c r="E179" s="1">
        <v>46022</v>
      </c>
      <c r="F179" t="s">
        <v>454</v>
      </c>
      <c r="G179" s="14" t="s">
        <v>133</v>
      </c>
      <c r="H179" s="4">
        <v>0</v>
      </c>
      <c r="I179" t="s">
        <v>21</v>
      </c>
    </row>
    <row r="180" spans="1:9" x14ac:dyDescent="0.25">
      <c r="A180">
        <v>6579653</v>
      </c>
      <c r="B180" t="s">
        <v>18</v>
      </c>
      <c r="C180" t="s">
        <v>19</v>
      </c>
      <c r="D180" s="1">
        <v>46022</v>
      </c>
      <c r="E180" s="1">
        <v>46022</v>
      </c>
      <c r="F180" t="s">
        <v>455</v>
      </c>
      <c r="G180" s="13" t="s">
        <v>134</v>
      </c>
      <c r="H180" s="4">
        <v>4759000</v>
      </c>
      <c r="I180" t="s">
        <v>21</v>
      </c>
    </row>
    <row r="181" spans="1:9" x14ac:dyDescent="0.25">
      <c r="A181">
        <v>6579654</v>
      </c>
      <c r="B181" t="s">
        <v>18</v>
      </c>
      <c r="C181" t="s">
        <v>19</v>
      </c>
      <c r="D181" s="1">
        <v>46022</v>
      </c>
      <c r="E181" s="1">
        <v>46022</v>
      </c>
      <c r="F181" t="s">
        <v>456</v>
      </c>
      <c r="G181" s="2" t="s">
        <v>135</v>
      </c>
      <c r="H181" s="4">
        <v>39891000</v>
      </c>
      <c r="I181" t="s">
        <v>21</v>
      </c>
    </row>
    <row r="182" spans="1:9" x14ac:dyDescent="0.25">
      <c r="A182">
        <v>6579655</v>
      </c>
      <c r="B182" t="s">
        <v>18</v>
      </c>
      <c r="C182" t="s">
        <v>19</v>
      </c>
      <c r="D182" s="1">
        <v>46022</v>
      </c>
      <c r="E182" s="1">
        <v>46022</v>
      </c>
      <c r="F182" t="s">
        <v>457</v>
      </c>
      <c r="G182" s="2" t="s">
        <v>136</v>
      </c>
      <c r="H182" s="4">
        <v>0</v>
      </c>
      <c r="I182" t="s">
        <v>21</v>
      </c>
    </row>
    <row r="183" spans="1:9" x14ac:dyDescent="0.25">
      <c r="A183">
        <v>6579656</v>
      </c>
      <c r="B183" t="s">
        <v>18</v>
      </c>
      <c r="C183" t="s">
        <v>19</v>
      </c>
      <c r="D183" s="1">
        <v>46022</v>
      </c>
      <c r="E183" s="1">
        <v>46022</v>
      </c>
      <c r="F183" t="s">
        <v>458</v>
      </c>
      <c r="G183" s="14" t="s">
        <v>137</v>
      </c>
      <c r="H183" s="4">
        <v>0</v>
      </c>
      <c r="I183" t="s">
        <v>21</v>
      </c>
    </row>
    <row r="184" spans="1:9" x14ac:dyDescent="0.25">
      <c r="A184">
        <v>6579657</v>
      </c>
      <c r="B184" t="s">
        <v>18</v>
      </c>
      <c r="C184" t="s">
        <v>19</v>
      </c>
      <c r="D184" s="1">
        <v>46022</v>
      </c>
      <c r="E184" s="1">
        <v>46022</v>
      </c>
      <c r="F184" t="s">
        <v>459</v>
      </c>
      <c r="G184" s="14" t="s">
        <v>138</v>
      </c>
      <c r="H184" s="4">
        <v>0</v>
      </c>
      <c r="I184" t="s">
        <v>21</v>
      </c>
    </row>
    <row r="185" spans="1:9" x14ac:dyDescent="0.25">
      <c r="A185">
        <v>6579658</v>
      </c>
      <c r="B185" t="s">
        <v>18</v>
      </c>
      <c r="C185" t="s">
        <v>19</v>
      </c>
      <c r="D185" s="1">
        <v>46022</v>
      </c>
      <c r="E185" s="1">
        <v>46022</v>
      </c>
      <c r="F185" t="s">
        <v>460</v>
      </c>
      <c r="G185" s="14" t="s">
        <v>139</v>
      </c>
      <c r="H185" s="4">
        <v>0</v>
      </c>
      <c r="I185" t="s">
        <v>21</v>
      </c>
    </row>
    <row r="186" spans="1:9" x14ac:dyDescent="0.25">
      <c r="A186">
        <v>6579659</v>
      </c>
      <c r="B186" t="s">
        <v>18</v>
      </c>
      <c r="C186" t="s">
        <v>19</v>
      </c>
      <c r="D186" s="1">
        <v>46022</v>
      </c>
      <c r="E186" s="1">
        <v>46022</v>
      </c>
      <c r="F186" t="s">
        <v>461</v>
      </c>
      <c r="G186" s="14" t="s">
        <v>140</v>
      </c>
      <c r="H186" s="4">
        <v>0</v>
      </c>
      <c r="I186" t="s">
        <v>21</v>
      </c>
    </row>
    <row r="187" spans="1:9" x14ac:dyDescent="0.25">
      <c r="A187">
        <v>6579660</v>
      </c>
      <c r="B187" t="s">
        <v>18</v>
      </c>
      <c r="C187" t="s">
        <v>19</v>
      </c>
      <c r="D187" s="1">
        <v>46022</v>
      </c>
      <c r="E187" s="1">
        <v>46022</v>
      </c>
      <c r="F187" t="s">
        <v>462</v>
      </c>
      <c r="G187" s="14" t="s">
        <v>141</v>
      </c>
      <c r="H187" s="4">
        <v>0</v>
      </c>
      <c r="I187" t="s">
        <v>21</v>
      </c>
    </row>
    <row r="188" spans="1:9" x14ac:dyDescent="0.25">
      <c r="A188">
        <v>6579661</v>
      </c>
      <c r="B188" t="s">
        <v>18</v>
      </c>
      <c r="C188" t="s">
        <v>19</v>
      </c>
      <c r="D188" s="1">
        <v>46022</v>
      </c>
      <c r="E188" s="1">
        <v>46022</v>
      </c>
      <c r="F188" t="s">
        <v>463</v>
      </c>
      <c r="G188" s="14" t="s">
        <v>126</v>
      </c>
      <c r="H188" s="4">
        <v>0</v>
      </c>
      <c r="I188" t="s">
        <v>21</v>
      </c>
    </row>
    <row r="189" spans="1:9" x14ac:dyDescent="0.25">
      <c r="A189">
        <v>6579662</v>
      </c>
      <c r="B189" t="s">
        <v>18</v>
      </c>
      <c r="C189" t="s">
        <v>19</v>
      </c>
      <c r="D189" s="1">
        <v>46022</v>
      </c>
      <c r="E189" s="1">
        <v>46022</v>
      </c>
      <c r="F189" t="s">
        <v>464</v>
      </c>
      <c r="G189" s="14" t="s">
        <v>142</v>
      </c>
      <c r="H189" s="4">
        <v>0</v>
      </c>
      <c r="I189" t="s">
        <v>21</v>
      </c>
    </row>
    <row r="190" spans="1:9" x14ac:dyDescent="0.25">
      <c r="A190">
        <v>6579663</v>
      </c>
      <c r="B190" t="s">
        <v>18</v>
      </c>
      <c r="C190" t="s">
        <v>19</v>
      </c>
      <c r="D190" s="1">
        <v>46022</v>
      </c>
      <c r="E190" s="1">
        <v>46022</v>
      </c>
      <c r="F190" t="s">
        <v>465</v>
      </c>
      <c r="G190" s="14" t="s">
        <v>143</v>
      </c>
      <c r="H190" s="4">
        <v>0</v>
      </c>
      <c r="I190" t="s">
        <v>21</v>
      </c>
    </row>
    <row r="191" spans="1:9" x14ac:dyDescent="0.25">
      <c r="A191">
        <v>6579664</v>
      </c>
      <c r="B191" t="s">
        <v>18</v>
      </c>
      <c r="C191" t="s">
        <v>19</v>
      </c>
      <c r="D191" s="1">
        <v>46022</v>
      </c>
      <c r="E191" s="1">
        <v>46022</v>
      </c>
      <c r="F191" t="s">
        <v>466</v>
      </c>
      <c r="G191" s="2" t="s">
        <v>144</v>
      </c>
      <c r="H191" s="4">
        <v>0</v>
      </c>
      <c r="I191" t="s">
        <v>21</v>
      </c>
    </row>
    <row r="192" spans="1:9" x14ac:dyDescent="0.25">
      <c r="A192">
        <v>6579665</v>
      </c>
      <c r="B192" t="s">
        <v>18</v>
      </c>
      <c r="C192" t="s">
        <v>19</v>
      </c>
      <c r="D192" s="1">
        <v>46022</v>
      </c>
      <c r="E192" s="1">
        <v>46022</v>
      </c>
      <c r="F192" t="s">
        <v>467</v>
      </c>
      <c r="G192" s="2" t="s">
        <v>145</v>
      </c>
      <c r="H192" s="4">
        <v>0</v>
      </c>
      <c r="I192" t="s">
        <v>21</v>
      </c>
    </row>
    <row r="193" spans="1:9" x14ac:dyDescent="0.25">
      <c r="A193">
        <v>6579666</v>
      </c>
      <c r="B193" t="s">
        <v>18</v>
      </c>
      <c r="C193" t="s">
        <v>19</v>
      </c>
      <c r="D193" s="1">
        <v>46022</v>
      </c>
      <c r="E193" s="1">
        <v>46022</v>
      </c>
      <c r="F193" t="s">
        <v>468</v>
      </c>
      <c r="G193" s="14" t="s">
        <v>146</v>
      </c>
      <c r="H193" s="4">
        <v>0</v>
      </c>
      <c r="I193" t="s">
        <v>21</v>
      </c>
    </row>
    <row r="194" spans="1:9" x14ac:dyDescent="0.25">
      <c r="A194">
        <v>6579667</v>
      </c>
      <c r="B194" t="s">
        <v>18</v>
      </c>
      <c r="C194" t="s">
        <v>19</v>
      </c>
      <c r="D194" s="1">
        <v>46022</v>
      </c>
      <c r="E194" s="1">
        <v>46022</v>
      </c>
      <c r="F194" t="s">
        <v>469</v>
      </c>
      <c r="G194" s="14" t="s">
        <v>147</v>
      </c>
      <c r="H194" s="4">
        <v>0</v>
      </c>
      <c r="I194" t="s">
        <v>21</v>
      </c>
    </row>
    <row r="195" spans="1:9" x14ac:dyDescent="0.25">
      <c r="A195">
        <v>6579668</v>
      </c>
      <c r="B195" t="s">
        <v>18</v>
      </c>
      <c r="C195" t="s">
        <v>19</v>
      </c>
      <c r="D195" s="1">
        <v>46022</v>
      </c>
      <c r="E195" s="1">
        <v>46022</v>
      </c>
      <c r="F195" t="s">
        <v>470</v>
      </c>
      <c r="G195" s="14" t="s">
        <v>148</v>
      </c>
      <c r="H195" s="4">
        <v>0</v>
      </c>
      <c r="I195" t="s">
        <v>21</v>
      </c>
    </row>
    <row r="196" spans="1:9" x14ac:dyDescent="0.25">
      <c r="A196">
        <v>6579669</v>
      </c>
      <c r="B196" t="s">
        <v>18</v>
      </c>
      <c r="C196" t="s">
        <v>19</v>
      </c>
      <c r="D196" s="1">
        <v>46022</v>
      </c>
      <c r="E196" s="1">
        <v>46022</v>
      </c>
      <c r="F196" t="s">
        <v>471</v>
      </c>
      <c r="G196" s="14" t="s">
        <v>149</v>
      </c>
      <c r="H196" s="4">
        <v>0</v>
      </c>
      <c r="I196" t="s">
        <v>21</v>
      </c>
    </row>
    <row r="197" spans="1:9" x14ac:dyDescent="0.25">
      <c r="A197">
        <v>6579670</v>
      </c>
      <c r="B197" t="s">
        <v>18</v>
      </c>
      <c r="C197" t="s">
        <v>19</v>
      </c>
      <c r="D197" s="1">
        <v>46022</v>
      </c>
      <c r="E197" s="1">
        <v>46022</v>
      </c>
      <c r="F197" t="s">
        <v>472</v>
      </c>
      <c r="G197" s="14" t="s">
        <v>150</v>
      </c>
      <c r="H197" s="4">
        <v>0</v>
      </c>
      <c r="I197" t="s">
        <v>21</v>
      </c>
    </row>
    <row r="198" spans="1:9" x14ac:dyDescent="0.25">
      <c r="A198">
        <v>6579671</v>
      </c>
      <c r="B198" t="s">
        <v>18</v>
      </c>
      <c r="C198" t="s">
        <v>19</v>
      </c>
      <c r="D198" s="1">
        <v>46022</v>
      </c>
      <c r="E198" s="1">
        <v>46022</v>
      </c>
      <c r="F198" t="s">
        <v>473</v>
      </c>
      <c r="G198" s="14" t="s">
        <v>151</v>
      </c>
      <c r="H198" s="4">
        <v>0</v>
      </c>
      <c r="I198" t="s">
        <v>21</v>
      </c>
    </row>
    <row r="199" spans="1:9" x14ac:dyDescent="0.25">
      <c r="A199">
        <v>6579672</v>
      </c>
      <c r="B199" t="s">
        <v>18</v>
      </c>
      <c r="C199" t="s">
        <v>19</v>
      </c>
      <c r="D199" s="1">
        <v>46022</v>
      </c>
      <c r="E199" s="1">
        <v>46022</v>
      </c>
      <c r="F199" t="s">
        <v>474</v>
      </c>
      <c r="G199" s="14" t="s">
        <v>152</v>
      </c>
      <c r="H199" s="4">
        <v>0</v>
      </c>
      <c r="I199" t="s">
        <v>21</v>
      </c>
    </row>
    <row r="200" spans="1:9" x14ac:dyDescent="0.25">
      <c r="A200">
        <v>6579673</v>
      </c>
      <c r="B200" t="s">
        <v>18</v>
      </c>
      <c r="C200" t="s">
        <v>19</v>
      </c>
      <c r="D200" s="1">
        <v>46022</v>
      </c>
      <c r="E200" s="1">
        <v>46022</v>
      </c>
      <c r="F200" t="s">
        <v>475</v>
      </c>
      <c r="G200" s="14" t="s">
        <v>153</v>
      </c>
      <c r="H200" s="4">
        <v>0</v>
      </c>
      <c r="I200" t="s">
        <v>21</v>
      </c>
    </row>
    <row r="201" spans="1:9" x14ac:dyDescent="0.25">
      <c r="A201">
        <v>6579674</v>
      </c>
      <c r="B201" t="s">
        <v>18</v>
      </c>
      <c r="C201" t="s">
        <v>19</v>
      </c>
      <c r="D201" s="1">
        <v>46022</v>
      </c>
      <c r="E201" s="1">
        <v>46022</v>
      </c>
      <c r="F201" t="s">
        <v>476</v>
      </c>
      <c r="G201" s="14" t="s">
        <v>141</v>
      </c>
      <c r="H201" s="4">
        <v>0</v>
      </c>
      <c r="I201" t="s">
        <v>21</v>
      </c>
    </row>
    <row r="202" spans="1:9" x14ac:dyDescent="0.25">
      <c r="A202">
        <v>6579675</v>
      </c>
      <c r="B202" t="s">
        <v>18</v>
      </c>
      <c r="C202" t="s">
        <v>19</v>
      </c>
      <c r="D202" s="1">
        <v>46022</v>
      </c>
      <c r="E202" s="1">
        <v>46022</v>
      </c>
      <c r="F202" t="s">
        <v>477</v>
      </c>
      <c r="G202" s="14" t="s">
        <v>154</v>
      </c>
      <c r="H202" s="4">
        <v>0</v>
      </c>
      <c r="I202" t="s">
        <v>21</v>
      </c>
    </row>
    <row r="203" spans="1:9" x14ac:dyDescent="0.25">
      <c r="A203">
        <v>6579676</v>
      </c>
      <c r="B203" t="s">
        <v>18</v>
      </c>
      <c r="C203" t="s">
        <v>19</v>
      </c>
      <c r="D203" s="1">
        <v>46022</v>
      </c>
      <c r="E203" s="1">
        <v>46022</v>
      </c>
      <c r="F203" t="s">
        <v>478</v>
      </c>
      <c r="G203" s="14" t="s">
        <v>155</v>
      </c>
      <c r="H203" s="4">
        <v>0</v>
      </c>
      <c r="I203" t="s">
        <v>21</v>
      </c>
    </row>
    <row r="204" spans="1:9" x14ac:dyDescent="0.25">
      <c r="A204">
        <v>6579677</v>
      </c>
      <c r="B204" t="s">
        <v>18</v>
      </c>
      <c r="C204" t="s">
        <v>19</v>
      </c>
      <c r="D204" s="1">
        <v>46022</v>
      </c>
      <c r="E204" s="1">
        <v>46022</v>
      </c>
      <c r="F204" t="s">
        <v>479</v>
      </c>
      <c r="G204" s="2" t="s">
        <v>156</v>
      </c>
      <c r="H204" s="4">
        <v>-35125000</v>
      </c>
      <c r="I204" t="s">
        <v>21</v>
      </c>
    </row>
    <row r="205" spans="1:9" x14ac:dyDescent="0.25">
      <c r="A205">
        <v>6579678</v>
      </c>
      <c r="B205" t="s">
        <v>18</v>
      </c>
      <c r="C205" t="s">
        <v>19</v>
      </c>
      <c r="D205" s="1">
        <v>46022</v>
      </c>
      <c r="E205" s="1">
        <v>46022</v>
      </c>
      <c r="F205" t="s">
        <v>480</v>
      </c>
      <c r="G205" s="2" t="s">
        <v>157</v>
      </c>
      <c r="H205" s="4">
        <v>0</v>
      </c>
      <c r="I205" t="s">
        <v>21</v>
      </c>
    </row>
    <row r="206" spans="1:9" x14ac:dyDescent="0.25">
      <c r="A206">
        <v>6579679</v>
      </c>
      <c r="B206" t="s">
        <v>18</v>
      </c>
      <c r="C206" t="s">
        <v>19</v>
      </c>
      <c r="D206" s="1">
        <v>46022</v>
      </c>
      <c r="E206" s="1">
        <v>46022</v>
      </c>
      <c r="F206" t="s">
        <v>481</v>
      </c>
      <c r="G206" s="2" t="s">
        <v>158</v>
      </c>
      <c r="H206" s="4">
        <v>0</v>
      </c>
      <c r="I206" t="s">
        <v>21</v>
      </c>
    </row>
    <row r="207" spans="1:9" x14ac:dyDescent="0.25">
      <c r="A207">
        <v>6579680</v>
      </c>
      <c r="B207" t="s">
        <v>18</v>
      </c>
      <c r="C207" t="s">
        <v>19</v>
      </c>
      <c r="D207" s="1">
        <v>46022</v>
      </c>
      <c r="E207" s="1">
        <v>46022</v>
      </c>
      <c r="F207" t="s">
        <v>482</v>
      </c>
      <c r="G207" s="2" t="s">
        <v>159</v>
      </c>
      <c r="H207" s="4">
        <v>-7000</v>
      </c>
      <c r="I207" t="s">
        <v>21</v>
      </c>
    </row>
    <row r="208" spans="1:9" x14ac:dyDescent="0.25">
      <c r="A208">
        <v>6579681</v>
      </c>
      <c r="B208" t="s">
        <v>18</v>
      </c>
      <c r="C208" t="s">
        <v>19</v>
      </c>
      <c r="D208" s="1">
        <v>46022</v>
      </c>
      <c r="E208" s="1">
        <v>46022</v>
      </c>
      <c r="F208" t="s">
        <v>483</v>
      </c>
      <c r="G208" s="2" t="s">
        <v>160</v>
      </c>
      <c r="H208" s="4">
        <v>0</v>
      </c>
      <c r="I208" t="s">
        <v>21</v>
      </c>
    </row>
    <row r="209" spans="1:9" x14ac:dyDescent="0.25">
      <c r="A209">
        <v>6579682</v>
      </c>
      <c r="B209" t="s">
        <v>18</v>
      </c>
      <c r="C209" t="s">
        <v>19</v>
      </c>
      <c r="D209" s="1">
        <v>45658</v>
      </c>
      <c r="E209" s="1">
        <v>46022</v>
      </c>
      <c r="F209" t="s">
        <v>484</v>
      </c>
      <c r="G209" s="13" t="s">
        <v>161</v>
      </c>
      <c r="H209" s="4">
        <v>12305000</v>
      </c>
      <c r="I209" t="s">
        <v>21</v>
      </c>
    </row>
    <row r="210" spans="1:9" x14ac:dyDescent="0.25">
      <c r="A210">
        <v>6579683</v>
      </c>
      <c r="B210" t="s">
        <v>18</v>
      </c>
      <c r="C210" t="s">
        <v>19</v>
      </c>
      <c r="D210" s="1">
        <v>45658</v>
      </c>
      <c r="E210" s="1">
        <v>46022</v>
      </c>
      <c r="F210" t="s">
        <v>485</v>
      </c>
      <c r="G210" s="13" t="s">
        <v>162</v>
      </c>
      <c r="H210" s="4">
        <v>-8981000</v>
      </c>
      <c r="I210" t="s">
        <v>21</v>
      </c>
    </row>
    <row r="211" spans="1:9" x14ac:dyDescent="0.25">
      <c r="A211">
        <v>6579684</v>
      </c>
      <c r="B211" t="s">
        <v>18</v>
      </c>
      <c r="C211" t="s">
        <v>19</v>
      </c>
      <c r="D211" s="1">
        <v>45658</v>
      </c>
      <c r="E211" s="1">
        <v>46022</v>
      </c>
      <c r="F211" t="s">
        <v>486</v>
      </c>
      <c r="G211" s="13" t="s">
        <v>163</v>
      </c>
      <c r="H211" s="4">
        <v>3324000</v>
      </c>
      <c r="I211" t="s">
        <v>21</v>
      </c>
    </row>
    <row r="212" spans="1:9" x14ac:dyDescent="0.25">
      <c r="A212">
        <v>6579685</v>
      </c>
      <c r="B212" t="s">
        <v>18</v>
      </c>
      <c r="C212" t="s">
        <v>19</v>
      </c>
      <c r="D212" s="1">
        <v>45658</v>
      </c>
      <c r="E212" s="1">
        <v>46022</v>
      </c>
      <c r="F212" t="s">
        <v>487</v>
      </c>
      <c r="G212" s="13" t="s">
        <v>164</v>
      </c>
      <c r="H212" s="4">
        <v>-2993000</v>
      </c>
      <c r="I212" t="s">
        <v>21</v>
      </c>
    </row>
    <row r="213" spans="1:9" x14ac:dyDescent="0.25">
      <c r="A213">
        <v>6579686</v>
      </c>
      <c r="B213" t="s">
        <v>18</v>
      </c>
      <c r="C213" t="s">
        <v>19</v>
      </c>
      <c r="D213" s="1">
        <v>45658</v>
      </c>
      <c r="E213" s="1">
        <v>46022</v>
      </c>
      <c r="F213" t="s">
        <v>488</v>
      </c>
      <c r="G213" s="2" t="s">
        <v>165</v>
      </c>
      <c r="H213" s="4">
        <v>-2720000</v>
      </c>
      <c r="I213" t="s">
        <v>21</v>
      </c>
    </row>
    <row r="214" spans="1:9" x14ac:dyDescent="0.25">
      <c r="A214">
        <v>6579687</v>
      </c>
      <c r="B214" t="s">
        <v>18</v>
      </c>
      <c r="C214" t="s">
        <v>19</v>
      </c>
      <c r="D214" s="1">
        <v>45658</v>
      </c>
      <c r="E214" s="1">
        <v>46022</v>
      </c>
      <c r="F214" t="s">
        <v>489</v>
      </c>
      <c r="G214" s="2" t="s">
        <v>166</v>
      </c>
      <c r="H214" s="4">
        <v>-1462000</v>
      </c>
      <c r="I214" t="s">
        <v>21</v>
      </c>
    </row>
    <row r="215" spans="1:9" x14ac:dyDescent="0.25">
      <c r="A215">
        <v>6579688</v>
      </c>
      <c r="B215" t="s">
        <v>18</v>
      </c>
      <c r="C215" t="s">
        <v>19</v>
      </c>
      <c r="D215" s="1">
        <v>45658</v>
      </c>
      <c r="E215" s="1">
        <v>46022</v>
      </c>
      <c r="F215" t="s">
        <v>490</v>
      </c>
      <c r="G215" s="2" t="s">
        <v>167</v>
      </c>
      <c r="H215" s="4">
        <v>0</v>
      </c>
      <c r="I215" t="s">
        <v>21</v>
      </c>
    </row>
    <row r="216" spans="1:9" x14ac:dyDescent="0.25">
      <c r="A216">
        <v>6579689</v>
      </c>
      <c r="B216" t="s">
        <v>18</v>
      </c>
      <c r="C216" t="s">
        <v>19</v>
      </c>
      <c r="D216" s="1">
        <v>45658</v>
      </c>
      <c r="E216" s="1">
        <v>46022</v>
      </c>
      <c r="F216" t="s">
        <v>491</v>
      </c>
      <c r="G216" s="2" t="s">
        <v>168</v>
      </c>
      <c r="H216" s="4">
        <v>0</v>
      </c>
      <c r="I216" t="s">
        <v>21</v>
      </c>
    </row>
    <row r="217" spans="1:9" x14ac:dyDescent="0.25">
      <c r="A217">
        <v>6579690</v>
      </c>
      <c r="B217" t="s">
        <v>18</v>
      </c>
      <c r="C217" t="s">
        <v>19</v>
      </c>
      <c r="D217" s="1">
        <v>45658</v>
      </c>
      <c r="E217" s="1">
        <v>46022</v>
      </c>
      <c r="F217" t="s">
        <v>492</v>
      </c>
      <c r="G217" s="2" t="s">
        <v>169</v>
      </c>
      <c r="H217" s="4">
        <v>1189000</v>
      </c>
      <c r="I217" t="s">
        <v>21</v>
      </c>
    </row>
    <row r="218" spans="1:9" x14ac:dyDescent="0.25">
      <c r="A218">
        <v>6579691</v>
      </c>
      <c r="B218" t="s">
        <v>18</v>
      </c>
      <c r="C218" t="s">
        <v>19</v>
      </c>
      <c r="D218" s="1">
        <v>45658</v>
      </c>
      <c r="E218" s="1">
        <v>46022</v>
      </c>
      <c r="F218" t="s">
        <v>493</v>
      </c>
      <c r="G218" s="14" t="s">
        <v>170</v>
      </c>
      <c r="H218" s="4">
        <v>0</v>
      </c>
      <c r="I218" t="s">
        <v>21</v>
      </c>
    </row>
    <row r="219" spans="1:9" x14ac:dyDescent="0.25">
      <c r="A219">
        <v>6579692</v>
      </c>
      <c r="B219" t="s">
        <v>18</v>
      </c>
      <c r="C219" t="s">
        <v>19</v>
      </c>
      <c r="D219" s="1">
        <v>45658</v>
      </c>
      <c r="E219" s="1">
        <v>46022</v>
      </c>
      <c r="F219" t="s">
        <v>494</v>
      </c>
      <c r="G219" s="14" t="s">
        <v>171</v>
      </c>
      <c r="H219" s="4">
        <v>1189000</v>
      </c>
      <c r="I219" t="s">
        <v>21</v>
      </c>
    </row>
    <row r="220" spans="1:9" x14ac:dyDescent="0.25">
      <c r="A220">
        <v>6579693</v>
      </c>
      <c r="B220" t="s">
        <v>18</v>
      </c>
      <c r="C220" t="s">
        <v>19</v>
      </c>
      <c r="D220" s="1">
        <v>45658</v>
      </c>
      <c r="E220" s="1">
        <v>46022</v>
      </c>
      <c r="F220" t="s">
        <v>495</v>
      </c>
      <c r="G220" s="2" t="s">
        <v>172</v>
      </c>
      <c r="H220" s="4">
        <v>0</v>
      </c>
      <c r="I220" t="s">
        <v>21</v>
      </c>
    </row>
    <row r="221" spans="1:9" x14ac:dyDescent="0.25">
      <c r="A221">
        <v>6579694</v>
      </c>
      <c r="B221" t="s">
        <v>18</v>
      </c>
      <c r="C221" t="s">
        <v>19</v>
      </c>
      <c r="D221" s="1">
        <v>45658</v>
      </c>
      <c r="E221" s="1">
        <v>46022</v>
      </c>
      <c r="F221" t="s">
        <v>496</v>
      </c>
      <c r="G221" s="13" t="s">
        <v>173</v>
      </c>
      <c r="H221" s="4">
        <v>331000</v>
      </c>
      <c r="I221" t="s">
        <v>21</v>
      </c>
    </row>
    <row r="222" spans="1:9" x14ac:dyDescent="0.25">
      <c r="A222">
        <v>6579695</v>
      </c>
      <c r="B222" t="s">
        <v>18</v>
      </c>
      <c r="C222" t="s">
        <v>19</v>
      </c>
      <c r="D222" s="1">
        <v>45658</v>
      </c>
      <c r="E222" s="1">
        <v>46022</v>
      </c>
      <c r="F222" t="s">
        <v>497</v>
      </c>
      <c r="G222" s="13" t="s">
        <v>174</v>
      </c>
      <c r="H222" s="4">
        <v>-164000</v>
      </c>
      <c r="I222" t="s">
        <v>21</v>
      </c>
    </row>
    <row r="223" spans="1:9" x14ac:dyDescent="0.25">
      <c r="A223">
        <v>6579696</v>
      </c>
      <c r="B223" t="s">
        <v>18</v>
      </c>
      <c r="C223" t="s">
        <v>19</v>
      </c>
      <c r="D223" s="1">
        <v>45658</v>
      </c>
      <c r="E223" s="1">
        <v>46022</v>
      </c>
      <c r="F223" t="s">
        <v>498</v>
      </c>
      <c r="G223" s="2" t="s">
        <v>175</v>
      </c>
      <c r="H223" s="4">
        <v>963000</v>
      </c>
      <c r="I223" t="s">
        <v>21</v>
      </c>
    </row>
    <row r="224" spans="1:9" x14ac:dyDescent="0.25">
      <c r="A224">
        <v>6579697</v>
      </c>
      <c r="B224" t="s">
        <v>18</v>
      </c>
      <c r="C224" t="s">
        <v>19</v>
      </c>
      <c r="D224" s="1">
        <v>45658</v>
      </c>
      <c r="E224" s="1">
        <v>46022</v>
      </c>
      <c r="F224" t="s">
        <v>499</v>
      </c>
      <c r="G224" s="2" t="s">
        <v>176</v>
      </c>
      <c r="H224" s="4">
        <v>-1127000</v>
      </c>
      <c r="I224" t="s">
        <v>21</v>
      </c>
    </row>
    <row r="225" spans="1:9" x14ac:dyDescent="0.25">
      <c r="A225">
        <v>6579698</v>
      </c>
      <c r="B225" t="s">
        <v>18</v>
      </c>
      <c r="C225" t="s">
        <v>19</v>
      </c>
      <c r="D225" s="1">
        <v>45658</v>
      </c>
      <c r="E225" s="1">
        <v>46022</v>
      </c>
      <c r="F225" t="s">
        <v>500</v>
      </c>
      <c r="G225" s="13" t="s">
        <v>177</v>
      </c>
      <c r="H225" s="4">
        <v>167000</v>
      </c>
      <c r="I225" t="s">
        <v>21</v>
      </c>
    </row>
    <row r="226" spans="1:9" x14ac:dyDescent="0.25">
      <c r="A226">
        <v>6579699</v>
      </c>
      <c r="B226" t="s">
        <v>18</v>
      </c>
      <c r="C226" t="s">
        <v>19</v>
      </c>
      <c r="D226" s="1">
        <v>45658</v>
      </c>
      <c r="E226" s="1">
        <v>46022</v>
      </c>
      <c r="F226" t="s">
        <v>501</v>
      </c>
      <c r="G226" s="13" t="s">
        <v>178</v>
      </c>
      <c r="H226" s="4">
        <v>-69000</v>
      </c>
      <c r="I226" t="s">
        <v>21</v>
      </c>
    </row>
    <row r="227" spans="1:9" x14ac:dyDescent="0.25">
      <c r="A227">
        <v>6579700</v>
      </c>
      <c r="B227" t="s">
        <v>18</v>
      </c>
      <c r="C227" t="s">
        <v>19</v>
      </c>
      <c r="D227" s="1">
        <v>45658</v>
      </c>
      <c r="E227" s="1">
        <v>46022</v>
      </c>
      <c r="F227" t="s">
        <v>502</v>
      </c>
      <c r="G227" s="2" t="s">
        <v>179</v>
      </c>
      <c r="H227" s="4">
        <v>-14000</v>
      </c>
      <c r="I227" t="s">
        <v>21</v>
      </c>
    </row>
    <row r="228" spans="1:9" x14ac:dyDescent="0.25">
      <c r="A228">
        <v>6579701</v>
      </c>
      <c r="B228" t="s">
        <v>18</v>
      </c>
      <c r="C228" t="s">
        <v>19</v>
      </c>
      <c r="D228" s="1">
        <v>45658</v>
      </c>
      <c r="E228" s="1">
        <v>46022</v>
      </c>
      <c r="F228" t="s">
        <v>503</v>
      </c>
      <c r="G228" s="2" t="s">
        <v>180</v>
      </c>
      <c r="H228" s="4">
        <v>-55000</v>
      </c>
      <c r="I228" t="s">
        <v>21</v>
      </c>
    </row>
    <row r="229" spans="1:9" x14ac:dyDescent="0.25">
      <c r="A229">
        <v>6579702</v>
      </c>
      <c r="B229" t="s">
        <v>18</v>
      </c>
      <c r="C229" t="s">
        <v>19</v>
      </c>
      <c r="D229" s="1">
        <v>45658</v>
      </c>
      <c r="E229" s="1">
        <v>46022</v>
      </c>
      <c r="F229" t="s">
        <v>504</v>
      </c>
      <c r="G229" s="13" t="s">
        <v>181</v>
      </c>
      <c r="H229" s="4">
        <v>98000</v>
      </c>
      <c r="I229" t="s">
        <v>21</v>
      </c>
    </row>
    <row r="230" spans="1:9" x14ac:dyDescent="0.25">
      <c r="A230">
        <v>6579703</v>
      </c>
      <c r="B230" t="s">
        <v>18</v>
      </c>
      <c r="C230" t="s">
        <v>19</v>
      </c>
      <c r="D230" s="1">
        <v>45658</v>
      </c>
      <c r="E230" s="1">
        <v>46022</v>
      </c>
      <c r="F230" t="s">
        <v>505</v>
      </c>
      <c r="G230" s="13" t="s">
        <v>182</v>
      </c>
      <c r="H230" s="4">
        <v>-369000</v>
      </c>
      <c r="I230" t="s">
        <v>21</v>
      </c>
    </row>
    <row r="231" spans="1:9" x14ac:dyDescent="0.25">
      <c r="A231">
        <v>6579704</v>
      </c>
      <c r="B231" t="s">
        <v>18</v>
      </c>
      <c r="C231" t="s">
        <v>19</v>
      </c>
      <c r="D231" s="1">
        <v>45658</v>
      </c>
      <c r="E231" s="1">
        <v>46022</v>
      </c>
      <c r="F231" t="s">
        <v>506</v>
      </c>
      <c r="G231" s="2" t="s">
        <v>183</v>
      </c>
      <c r="H231" s="4">
        <v>-369000</v>
      </c>
      <c r="I231" t="s">
        <v>21</v>
      </c>
    </row>
    <row r="232" spans="1:9" x14ac:dyDescent="0.25">
      <c r="A232">
        <v>6579705</v>
      </c>
      <c r="B232" t="s">
        <v>18</v>
      </c>
      <c r="C232" t="s">
        <v>19</v>
      </c>
      <c r="D232" s="1">
        <v>45658</v>
      </c>
      <c r="E232" s="1">
        <v>46022</v>
      </c>
      <c r="F232" t="s">
        <v>507</v>
      </c>
      <c r="G232" s="2" t="s">
        <v>184</v>
      </c>
      <c r="H232" s="4">
        <v>0</v>
      </c>
      <c r="I232" t="s">
        <v>21</v>
      </c>
    </row>
    <row r="233" spans="1:9" x14ac:dyDescent="0.25">
      <c r="A233">
        <v>6579706</v>
      </c>
      <c r="B233" t="s">
        <v>18</v>
      </c>
      <c r="C233" t="s">
        <v>19</v>
      </c>
      <c r="D233" s="1">
        <v>45658</v>
      </c>
      <c r="E233" s="1">
        <v>46022</v>
      </c>
      <c r="F233" t="s">
        <v>508</v>
      </c>
      <c r="G233" s="13" t="s">
        <v>185</v>
      </c>
      <c r="H233" s="4">
        <v>-271000</v>
      </c>
      <c r="I233" t="s">
        <v>21</v>
      </c>
    </row>
    <row r="234" spans="1:9" x14ac:dyDescent="0.25">
      <c r="A234">
        <v>6579707</v>
      </c>
      <c r="B234" t="s">
        <v>18</v>
      </c>
      <c r="C234" t="s">
        <v>19</v>
      </c>
      <c r="D234" s="1">
        <v>45658</v>
      </c>
      <c r="E234" s="1">
        <v>46022</v>
      </c>
      <c r="F234" t="s">
        <v>509</v>
      </c>
      <c r="G234" s="2" t="s">
        <v>186</v>
      </c>
      <c r="H234" s="4">
        <v>-271000</v>
      </c>
      <c r="I234" t="s">
        <v>21</v>
      </c>
    </row>
    <row r="235" spans="1:9" x14ac:dyDescent="0.25">
      <c r="A235">
        <v>6579708</v>
      </c>
      <c r="B235" t="s">
        <v>18</v>
      </c>
      <c r="C235" t="s">
        <v>19</v>
      </c>
      <c r="D235" s="1">
        <v>45658</v>
      </c>
      <c r="E235" s="1">
        <v>46022</v>
      </c>
      <c r="F235" t="s">
        <v>510</v>
      </c>
      <c r="G235" s="2" t="s">
        <v>187</v>
      </c>
      <c r="H235" s="4">
        <v>0</v>
      </c>
      <c r="I235" t="s">
        <v>21</v>
      </c>
    </row>
    <row r="236" spans="1:9" x14ac:dyDescent="0.25">
      <c r="A236">
        <v>6579709</v>
      </c>
      <c r="B236" t="s">
        <v>18</v>
      </c>
      <c r="C236" t="s">
        <v>19</v>
      </c>
      <c r="D236" s="1">
        <v>45658</v>
      </c>
      <c r="E236" s="1">
        <v>46022</v>
      </c>
      <c r="F236" t="s">
        <v>511</v>
      </c>
      <c r="G236" s="13" t="s">
        <v>188</v>
      </c>
      <c r="H236" s="4">
        <v>0</v>
      </c>
      <c r="I236" t="s">
        <v>21</v>
      </c>
    </row>
    <row r="237" spans="1:9" x14ac:dyDescent="0.25">
      <c r="A237">
        <v>6579710</v>
      </c>
      <c r="B237" t="s">
        <v>18</v>
      </c>
      <c r="C237" t="s">
        <v>19</v>
      </c>
      <c r="D237" s="1">
        <v>45658</v>
      </c>
      <c r="E237" s="1">
        <v>46022</v>
      </c>
      <c r="F237" t="s">
        <v>512</v>
      </c>
      <c r="G237" s="2" t="s">
        <v>189</v>
      </c>
      <c r="H237" s="4">
        <v>0</v>
      </c>
      <c r="I237" t="s">
        <v>21</v>
      </c>
    </row>
    <row r="238" spans="1:9" x14ac:dyDescent="0.25">
      <c r="A238">
        <v>6579711</v>
      </c>
      <c r="B238" t="s">
        <v>18</v>
      </c>
      <c r="C238" t="s">
        <v>19</v>
      </c>
      <c r="D238" s="1">
        <v>45658</v>
      </c>
      <c r="E238" s="1">
        <v>46022</v>
      </c>
      <c r="F238" t="s">
        <v>513</v>
      </c>
      <c r="G238" s="14" t="s">
        <v>190</v>
      </c>
      <c r="H238" s="4">
        <v>0</v>
      </c>
      <c r="I238" t="s">
        <v>21</v>
      </c>
    </row>
    <row r="239" spans="1:9" x14ac:dyDescent="0.25">
      <c r="A239">
        <v>6579712</v>
      </c>
      <c r="B239" t="s">
        <v>18</v>
      </c>
      <c r="C239" t="s">
        <v>19</v>
      </c>
      <c r="D239" s="1">
        <v>45658</v>
      </c>
      <c r="E239" s="1">
        <v>46022</v>
      </c>
      <c r="F239" t="s">
        <v>514</v>
      </c>
      <c r="G239" s="2" t="s">
        <v>191</v>
      </c>
      <c r="H239" s="4">
        <v>0</v>
      </c>
      <c r="I239" t="s">
        <v>21</v>
      </c>
    </row>
    <row r="240" spans="1:9" x14ac:dyDescent="0.25">
      <c r="A240">
        <v>6579713</v>
      </c>
      <c r="B240" t="s">
        <v>18</v>
      </c>
      <c r="C240" t="s">
        <v>19</v>
      </c>
      <c r="D240" s="1">
        <v>45658</v>
      </c>
      <c r="E240" s="1">
        <v>46022</v>
      </c>
      <c r="F240" t="s">
        <v>515</v>
      </c>
      <c r="G240" s="14" t="s">
        <v>190</v>
      </c>
      <c r="H240" s="4">
        <v>0</v>
      </c>
      <c r="I240" t="s">
        <v>21</v>
      </c>
    </row>
    <row r="241" spans="1:9" x14ac:dyDescent="0.25">
      <c r="A241">
        <v>6579714</v>
      </c>
      <c r="B241" t="s">
        <v>18</v>
      </c>
      <c r="C241" t="s">
        <v>19</v>
      </c>
      <c r="D241" s="1">
        <v>45658</v>
      </c>
      <c r="E241" s="1">
        <v>46022</v>
      </c>
      <c r="F241" t="s">
        <v>516</v>
      </c>
      <c r="G241" s="13" t="s">
        <v>192</v>
      </c>
      <c r="H241" s="4">
        <v>561000</v>
      </c>
      <c r="I241" t="s">
        <v>21</v>
      </c>
    </row>
    <row r="242" spans="1:9" x14ac:dyDescent="0.25">
      <c r="A242">
        <v>6579715</v>
      </c>
      <c r="B242" t="s">
        <v>18</v>
      </c>
      <c r="C242" t="s">
        <v>19</v>
      </c>
      <c r="D242" s="1">
        <v>45658</v>
      </c>
      <c r="E242" s="1">
        <v>46022</v>
      </c>
      <c r="F242" t="s">
        <v>517</v>
      </c>
      <c r="G242" s="2" t="s">
        <v>193</v>
      </c>
      <c r="H242" s="4">
        <v>255000</v>
      </c>
      <c r="I242" t="s">
        <v>21</v>
      </c>
    </row>
    <row r="243" spans="1:9" x14ac:dyDescent="0.25">
      <c r="A243">
        <v>6579716</v>
      </c>
      <c r="B243" t="s">
        <v>18</v>
      </c>
      <c r="C243" t="s">
        <v>19</v>
      </c>
      <c r="D243" s="1">
        <v>45658</v>
      </c>
      <c r="E243" s="1">
        <v>46022</v>
      </c>
      <c r="F243" t="s">
        <v>518</v>
      </c>
      <c r="G243" s="14" t="s">
        <v>194</v>
      </c>
      <c r="H243" s="4">
        <v>98000</v>
      </c>
      <c r="I243" t="s">
        <v>21</v>
      </c>
    </row>
    <row r="244" spans="1:9" x14ac:dyDescent="0.25">
      <c r="A244">
        <v>6579717</v>
      </c>
      <c r="B244" t="s">
        <v>18</v>
      </c>
      <c r="C244" t="s">
        <v>19</v>
      </c>
      <c r="D244" s="1">
        <v>45658</v>
      </c>
      <c r="E244" s="1">
        <v>46022</v>
      </c>
      <c r="F244" t="s">
        <v>519</v>
      </c>
      <c r="G244" s="14" t="s">
        <v>195</v>
      </c>
      <c r="H244" s="4">
        <v>-369000</v>
      </c>
      <c r="I244" t="s">
        <v>21</v>
      </c>
    </row>
    <row r="245" spans="1:9" x14ac:dyDescent="0.25">
      <c r="A245">
        <v>6579718</v>
      </c>
      <c r="B245" t="s">
        <v>18</v>
      </c>
      <c r="C245" t="s">
        <v>19</v>
      </c>
      <c r="D245" s="1">
        <v>45658</v>
      </c>
      <c r="E245" s="1">
        <v>46022</v>
      </c>
      <c r="F245" t="s">
        <v>520</v>
      </c>
      <c r="G245" s="14" t="s">
        <v>196</v>
      </c>
      <c r="H245" s="4">
        <v>808000</v>
      </c>
      <c r="I245" t="s">
        <v>21</v>
      </c>
    </row>
    <row r="246" spans="1:9" x14ac:dyDescent="0.25">
      <c r="A246">
        <v>6579719</v>
      </c>
      <c r="B246" t="s">
        <v>18</v>
      </c>
      <c r="C246" t="s">
        <v>19</v>
      </c>
      <c r="D246" s="1">
        <v>45658</v>
      </c>
      <c r="E246" s="1">
        <v>46022</v>
      </c>
      <c r="F246" t="s">
        <v>521</v>
      </c>
      <c r="G246" s="14" t="s">
        <v>197</v>
      </c>
      <c r="H246" s="4">
        <v>69000</v>
      </c>
      <c r="I246" t="s">
        <v>21</v>
      </c>
    </row>
    <row r="247" spans="1:9" x14ac:dyDescent="0.25">
      <c r="A247">
        <v>6579720</v>
      </c>
      <c r="B247" t="s">
        <v>18</v>
      </c>
      <c r="C247" t="s">
        <v>19</v>
      </c>
      <c r="D247" s="1">
        <v>45658</v>
      </c>
      <c r="E247" s="1">
        <v>46022</v>
      </c>
      <c r="F247" t="s">
        <v>522</v>
      </c>
      <c r="G247" s="14" t="s">
        <v>198</v>
      </c>
      <c r="H247" s="4">
        <v>485000</v>
      </c>
      <c r="I247" t="s">
        <v>21</v>
      </c>
    </row>
    <row r="248" spans="1:9" x14ac:dyDescent="0.25">
      <c r="A248">
        <v>6579721</v>
      </c>
      <c r="B248" t="s">
        <v>18</v>
      </c>
      <c r="C248" t="s">
        <v>19</v>
      </c>
      <c r="D248" s="1">
        <v>45658</v>
      </c>
      <c r="E248" s="1">
        <v>46022</v>
      </c>
      <c r="F248" t="s">
        <v>523</v>
      </c>
      <c r="G248" s="14" t="s">
        <v>199</v>
      </c>
      <c r="H248" s="4">
        <v>0</v>
      </c>
      <c r="I248" t="s">
        <v>21</v>
      </c>
    </row>
    <row r="249" spans="1:9" x14ac:dyDescent="0.25">
      <c r="A249">
        <v>6579722</v>
      </c>
      <c r="B249" t="s">
        <v>18</v>
      </c>
      <c r="C249" t="s">
        <v>19</v>
      </c>
      <c r="D249" s="1">
        <v>45658</v>
      </c>
      <c r="E249" s="1">
        <v>46022</v>
      </c>
      <c r="F249" t="s">
        <v>524</v>
      </c>
      <c r="G249" s="14" t="s">
        <v>200</v>
      </c>
      <c r="H249" s="4">
        <v>387000</v>
      </c>
      <c r="I249" t="s">
        <v>21</v>
      </c>
    </row>
    <row r="250" spans="1:9" x14ac:dyDescent="0.25">
      <c r="A250">
        <v>6579723</v>
      </c>
      <c r="B250" t="s">
        <v>18</v>
      </c>
      <c r="C250" t="s">
        <v>19</v>
      </c>
      <c r="D250" s="1">
        <v>45658</v>
      </c>
      <c r="E250" s="1">
        <v>46022</v>
      </c>
      <c r="F250" t="s">
        <v>525</v>
      </c>
      <c r="G250" s="14" t="s">
        <v>201</v>
      </c>
      <c r="H250" s="4">
        <v>-884000</v>
      </c>
      <c r="I250" t="s">
        <v>21</v>
      </c>
    </row>
    <row r="251" spans="1:9" x14ac:dyDescent="0.25">
      <c r="A251">
        <v>6579724</v>
      </c>
      <c r="B251" t="s">
        <v>18</v>
      </c>
      <c r="C251" t="s">
        <v>19</v>
      </c>
      <c r="D251" s="1">
        <v>45658</v>
      </c>
      <c r="E251" s="1">
        <v>46022</v>
      </c>
      <c r="F251" t="s">
        <v>526</v>
      </c>
      <c r="G251" s="14" t="s">
        <v>202</v>
      </c>
      <c r="H251" s="4">
        <v>49000</v>
      </c>
      <c r="I251" t="s">
        <v>21</v>
      </c>
    </row>
    <row r="252" spans="1:9" x14ac:dyDescent="0.25">
      <c r="A252">
        <v>6579725</v>
      </c>
      <c r="B252" t="s">
        <v>18</v>
      </c>
      <c r="C252" t="s">
        <v>19</v>
      </c>
      <c r="D252" s="1">
        <v>45658</v>
      </c>
      <c r="E252" s="1">
        <v>46022</v>
      </c>
      <c r="F252" t="s">
        <v>527</v>
      </c>
      <c r="G252" s="14" t="s">
        <v>203</v>
      </c>
      <c r="H252" s="4">
        <v>-123000</v>
      </c>
      <c r="I252" t="s">
        <v>21</v>
      </c>
    </row>
    <row r="253" spans="1:9" x14ac:dyDescent="0.25">
      <c r="A253">
        <v>6579726</v>
      </c>
      <c r="B253" t="s">
        <v>18</v>
      </c>
      <c r="C253" t="s">
        <v>19</v>
      </c>
      <c r="D253" s="1">
        <v>45658</v>
      </c>
      <c r="E253" s="1">
        <v>46022</v>
      </c>
      <c r="F253" t="s">
        <v>528</v>
      </c>
      <c r="G253" s="14" t="s">
        <v>204</v>
      </c>
      <c r="H253" s="4">
        <v>0</v>
      </c>
      <c r="I253" t="s">
        <v>21</v>
      </c>
    </row>
    <row r="254" spans="1:9" x14ac:dyDescent="0.25">
      <c r="A254">
        <v>6579727</v>
      </c>
      <c r="B254" t="s">
        <v>18</v>
      </c>
      <c r="C254" t="s">
        <v>19</v>
      </c>
      <c r="D254" s="1">
        <v>45658</v>
      </c>
      <c r="E254" s="1">
        <v>46022</v>
      </c>
      <c r="F254" t="s">
        <v>529</v>
      </c>
      <c r="G254" s="14" t="s">
        <v>44</v>
      </c>
      <c r="H254" s="4">
        <v>-265000</v>
      </c>
      <c r="I254" t="s">
        <v>21</v>
      </c>
    </row>
    <row r="255" spans="1:9" x14ac:dyDescent="0.25">
      <c r="A255">
        <v>6579728</v>
      </c>
      <c r="B255" t="s">
        <v>18</v>
      </c>
      <c r="C255" t="s">
        <v>19</v>
      </c>
      <c r="D255" s="1">
        <v>45658</v>
      </c>
      <c r="E255" s="1">
        <v>46022</v>
      </c>
      <c r="F255" t="s">
        <v>530</v>
      </c>
      <c r="G255" s="2" t="s">
        <v>205</v>
      </c>
      <c r="H255" s="4">
        <v>306000</v>
      </c>
      <c r="I255" t="s">
        <v>21</v>
      </c>
    </row>
    <row r="256" spans="1:9" x14ac:dyDescent="0.25">
      <c r="A256">
        <v>6579729</v>
      </c>
      <c r="B256" t="s">
        <v>18</v>
      </c>
      <c r="C256" t="s">
        <v>19</v>
      </c>
      <c r="D256" s="1">
        <v>45658</v>
      </c>
      <c r="E256" s="1">
        <v>46022</v>
      </c>
      <c r="F256" t="s">
        <v>531</v>
      </c>
      <c r="G256" s="14" t="s">
        <v>206</v>
      </c>
      <c r="H256" s="4">
        <v>189000</v>
      </c>
      <c r="I256" t="s">
        <v>21</v>
      </c>
    </row>
    <row r="257" spans="1:9" x14ac:dyDescent="0.25">
      <c r="A257">
        <v>6579730</v>
      </c>
      <c r="B257" t="s">
        <v>18</v>
      </c>
      <c r="C257" t="s">
        <v>19</v>
      </c>
      <c r="D257" s="1">
        <v>45658</v>
      </c>
      <c r="E257" s="1">
        <v>46022</v>
      </c>
      <c r="F257" t="s">
        <v>532</v>
      </c>
      <c r="G257" s="14" t="s">
        <v>34</v>
      </c>
      <c r="H257" s="4">
        <v>-216000</v>
      </c>
      <c r="I257" t="s">
        <v>21</v>
      </c>
    </row>
    <row r="258" spans="1:9" x14ac:dyDescent="0.25">
      <c r="A258">
        <v>6579731</v>
      </c>
      <c r="B258" t="s">
        <v>18</v>
      </c>
      <c r="C258" t="s">
        <v>19</v>
      </c>
      <c r="D258" s="1">
        <v>45658</v>
      </c>
      <c r="E258" s="1">
        <v>46022</v>
      </c>
      <c r="F258" t="s">
        <v>533</v>
      </c>
      <c r="G258" s="14" t="s">
        <v>207</v>
      </c>
      <c r="H258" s="4">
        <v>1025000</v>
      </c>
      <c r="I258" t="s">
        <v>21</v>
      </c>
    </row>
    <row r="259" spans="1:9" x14ac:dyDescent="0.25">
      <c r="A259">
        <v>6579732</v>
      </c>
      <c r="B259" t="s">
        <v>18</v>
      </c>
      <c r="C259" t="s">
        <v>19</v>
      </c>
      <c r="D259" s="1">
        <v>45658</v>
      </c>
      <c r="E259" s="1">
        <v>46022</v>
      </c>
      <c r="F259" t="s">
        <v>534</v>
      </c>
      <c r="G259" s="14" t="s">
        <v>208</v>
      </c>
      <c r="H259" s="4">
        <v>-43000</v>
      </c>
      <c r="I259" t="s">
        <v>21</v>
      </c>
    </row>
    <row r="260" spans="1:9" x14ac:dyDescent="0.25">
      <c r="A260">
        <v>6579733</v>
      </c>
      <c r="B260" t="s">
        <v>18</v>
      </c>
      <c r="C260" t="s">
        <v>19</v>
      </c>
      <c r="D260" s="1">
        <v>45658</v>
      </c>
      <c r="E260" s="1">
        <v>46022</v>
      </c>
      <c r="F260" t="s">
        <v>535</v>
      </c>
      <c r="G260" s="14" t="s">
        <v>48</v>
      </c>
      <c r="H260" s="4">
        <v>68000</v>
      </c>
      <c r="I260" t="s">
        <v>21</v>
      </c>
    </row>
    <row r="261" spans="1:9" x14ac:dyDescent="0.25">
      <c r="A261">
        <v>6579734</v>
      </c>
      <c r="B261" t="s">
        <v>18</v>
      </c>
      <c r="C261" t="s">
        <v>19</v>
      </c>
      <c r="D261" s="1">
        <v>45658</v>
      </c>
      <c r="E261" s="1">
        <v>46022</v>
      </c>
      <c r="F261" t="s">
        <v>536</v>
      </c>
      <c r="G261" s="14" t="s">
        <v>209</v>
      </c>
      <c r="H261" s="4">
        <v>91000</v>
      </c>
      <c r="I261" t="s">
        <v>21</v>
      </c>
    </row>
    <row r="262" spans="1:9" x14ac:dyDescent="0.25">
      <c r="A262">
        <v>6579735</v>
      </c>
      <c r="B262" t="s">
        <v>18</v>
      </c>
      <c r="C262" t="s">
        <v>19</v>
      </c>
      <c r="D262" s="1">
        <v>45658</v>
      </c>
      <c r="E262" s="1">
        <v>46022</v>
      </c>
      <c r="F262" t="s">
        <v>537</v>
      </c>
      <c r="G262" s="14" t="s">
        <v>78</v>
      </c>
      <c r="H262" s="4">
        <v>138000</v>
      </c>
      <c r="I262" t="s">
        <v>21</v>
      </c>
    </row>
    <row r="263" spans="1:9" x14ac:dyDescent="0.25">
      <c r="A263">
        <v>6579736</v>
      </c>
      <c r="B263" t="s">
        <v>18</v>
      </c>
      <c r="C263" t="s">
        <v>19</v>
      </c>
      <c r="D263" s="1">
        <v>45658</v>
      </c>
      <c r="E263" s="1">
        <v>46022</v>
      </c>
      <c r="F263" t="s">
        <v>538</v>
      </c>
      <c r="G263" s="14" t="s">
        <v>110</v>
      </c>
      <c r="H263" s="4">
        <v>259000</v>
      </c>
      <c r="I263" t="s">
        <v>21</v>
      </c>
    </row>
    <row r="264" spans="1:9" x14ac:dyDescent="0.25">
      <c r="A264">
        <v>6579737</v>
      </c>
      <c r="B264" t="s">
        <v>18</v>
      </c>
      <c r="C264" t="s">
        <v>19</v>
      </c>
      <c r="D264" s="1">
        <v>45658</v>
      </c>
      <c r="E264" s="1">
        <v>46022</v>
      </c>
      <c r="F264" t="s">
        <v>539</v>
      </c>
      <c r="G264" s="14" t="s">
        <v>210</v>
      </c>
      <c r="H264" s="4">
        <v>-37000</v>
      </c>
      <c r="I264" t="s">
        <v>21</v>
      </c>
    </row>
    <row r="265" spans="1:9" x14ac:dyDescent="0.25">
      <c r="A265">
        <v>6579738</v>
      </c>
      <c r="B265" t="s">
        <v>18</v>
      </c>
      <c r="C265" t="s">
        <v>19</v>
      </c>
      <c r="D265" s="1">
        <v>45658</v>
      </c>
      <c r="E265" s="1">
        <v>46022</v>
      </c>
      <c r="F265" t="s">
        <v>540</v>
      </c>
      <c r="G265" s="14" t="s">
        <v>211</v>
      </c>
      <c r="H265" s="4">
        <v>-346000</v>
      </c>
      <c r="I265" t="s">
        <v>21</v>
      </c>
    </row>
    <row r="266" spans="1:9" x14ac:dyDescent="0.25">
      <c r="A266">
        <v>6579739</v>
      </c>
      <c r="B266" t="s">
        <v>18</v>
      </c>
      <c r="C266" t="s">
        <v>19</v>
      </c>
      <c r="D266" s="1">
        <v>45658</v>
      </c>
      <c r="E266" s="1">
        <v>46022</v>
      </c>
      <c r="F266" t="s">
        <v>541</v>
      </c>
      <c r="G266" s="14" t="s">
        <v>212</v>
      </c>
      <c r="H266" s="4">
        <v>0</v>
      </c>
      <c r="I266" t="s">
        <v>21</v>
      </c>
    </row>
    <row r="267" spans="1:9" x14ac:dyDescent="0.25">
      <c r="A267">
        <v>6579740</v>
      </c>
      <c r="B267" t="s">
        <v>18</v>
      </c>
      <c r="C267" t="s">
        <v>19</v>
      </c>
      <c r="D267" s="1">
        <v>45658</v>
      </c>
      <c r="E267" s="1">
        <v>46022</v>
      </c>
      <c r="F267" t="s">
        <v>542</v>
      </c>
      <c r="G267" s="14" t="s">
        <v>213</v>
      </c>
      <c r="H267" s="4">
        <v>-438000</v>
      </c>
      <c r="I267" t="s">
        <v>21</v>
      </c>
    </row>
    <row r="268" spans="1:9" x14ac:dyDescent="0.25">
      <c r="A268">
        <v>6579741</v>
      </c>
      <c r="B268" t="s">
        <v>18</v>
      </c>
      <c r="C268" t="s">
        <v>19</v>
      </c>
      <c r="D268" s="1">
        <v>45658</v>
      </c>
      <c r="E268" s="1">
        <v>46022</v>
      </c>
      <c r="F268" t="s">
        <v>543</v>
      </c>
      <c r="G268" s="14" t="s">
        <v>214</v>
      </c>
      <c r="H268" s="4">
        <v>-153000</v>
      </c>
      <c r="I268" t="s">
        <v>21</v>
      </c>
    </row>
    <row r="269" spans="1:9" x14ac:dyDescent="0.25">
      <c r="A269">
        <v>6579742</v>
      </c>
      <c r="B269" t="s">
        <v>18</v>
      </c>
      <c r="C269" t="s">
        <v>19</v>
      </c>
      <c r="D269" s="1">
        <v>45658</v>
      </c>
      <c r="E269" s="1">
        <v>46022</v>
      </c>
      <c r="F269" t="s">
        <v>544</v>
      </c>
      <c r="G269" s="14" t="s">
        <v>215</v>
      </c>
      <c r="H269" s="4">
        <v>0</v>
      </c>
      <c r="I269" t="s">
        <v>21</v>
      </c>
    </row>
    <row r="270" spans="1:9" x14ac:dyDescent="0.25">
      <c r="A270">
        <v>6579743</v>
      </c>
      <c r="B270" t="s">
        <v>18</v>
      </c>
      <c r="C270" t="s">
        <v>19</v>
      </c>
      <c r="D270" s="1">
        <v>45658</v>
      </c>
      <c r="E270" s="1">
        <v>46022</v>
      </c>
      <c r="F270" t="s">
        <v>545</v>
      </c>
      <c r="G270" s="14" t="s">
        <v>216</v>
      </c>
      <c r="H270" s="4">
        <v>-463000</v>
      </c>
      <c r="I270" t="s">
        <v>21</v>
      </c>
    </row>
    <row r="271" spans="1:9" x14ac:dyDescent="0.25">
      <c r="A271">
        <v>6579744</v>
      </c>
      <c r="B271" t="s">
        <v>18</v>
      </c>
      <c r="C271" t="s">
        <v>19</v>
      </c>
      <c r="D271" s="1">
        <v>45658</v>
      </c>
      <c r="E271" s="1">
        <v>46022</v>
      </c>
      <c r="F271" t="s">
        <v>546</v>
      </c>
      <c r="G271" s="14" t="s">
        <v>217</v>
      </c>
      <c r="H271" s="4">
        <v>-4000</v>
      </c>
      <c r="I271" t="s">
        <v>21</v>
      </c>
    </row>
    <row r="272" spans="1:9" x14ac:dyDescent="0.25">
      <c r="A272">
        <v>6579745</v>
      </c>
      <c r="B272" t="s">
        <v>18</v>
      </c>
      <c r="C272" t="s">
        <v>19</v>
      </c>
      <c r="D272" s="1">
        <v>45658</v>
      </c>
      <c r="E272" s="1">
        <v>46022</v>
      </c>
      <c r="F272" t="s">
        <v>547</v>
      </c>
      <c r="G272" s="14" t="s">
        <v>218</v>
      </c>
      <c r="H272" s="4">
        <v>236000</v>
      </c>
      <c r="I272" t="s">
        <v>21</v>
      </c>
    </row>
    <row r="273" spans="1:9" x14ac:dyDescent="0.25">
      <c r="A273">
        <v>6579746</v>
      </c>
      <c r="B273" t="s">
        <v>18</v>
      </c>
      <c r="C273" t="s">
        <v>19</v>
      </c>
      <c r="D273" s="1">
        <v>45658</v>
      </c>
      <c r="E273" s="1">
        <v>46022</v>
      </c>
      <c r="F273" t="s">
        <v>548</v>
      </c>
      <c r="G273" s="2" t="s">
        <v>44</v>
      </c>
      <c r="H273" s="4">
        <v>0</v>
      </c>
      <c r="I273" t="s">
        <v>21</v>
      </c>
    </row>
    <row r="274" spans="1:9" x14ac:dyDescent="0.25">
      <c r="A274">
        <v>6579747</v>
      </c>
      <c r="B274" t="s">
        <v>18</v>
      </c>
      <c r="C274" t="s">
        <v>19</v>
      </c>
      <c r="D274" s="1">
        <v>45658</v>
      </c>
      <c r="E274" s="1">
        <v>46022</v>
      </c>
      <c r="F274" t="s">
        <v>549</v>
      </c>
      <c r="G274" s="13" t="s">
        <v>219</v>
      </c>
      <c r="H274" s="4">
        <v>-332000</v>
      </c>
      <c r="I274" t="s">
        <v>21</v>
      </c>
    </row>
    <row r="275" spans="1:9" x14ac:dyDescent="0.25">
      <c r="A275">
        <v>6579748</v>
      </c>
      <c r="B275" t="s">
        <v>18</v>
      </c>
      <c r="C275" t="s">
        <v>19</v>
      </c>
      <c r="D275" s="1">
        <v>45658</v>
      </c>
      <c r="E275" s="1">
        <v>46022</v>
      </c>
      <c r="F275" t="s">
        <v>550</v>
      </c>
      <c r="G275" s="2" t="s">
        <v>220</v>
      </c>
      <c r="H275" s="4">
        <v>-4000</v>
      </c>
      <c r="I275" t="s">
        <v>21</v>
      </c>
    </row>
    <row r="276" spans="1:9" x14ac:dyDescent="0.25">
      <c r="A276">
        <v>6579749</v>
      </c>
      <c r="B276" t="s">
        <v>18</v>
      </c>
      <c r="C276" t="s">
        <v>19</v>
      </c>
      <c r="D276" s="1">
        <v>45658</v>
      </c>
      <c r="E276" s="1">
        <v>46022</v>
      </c>
      <c r="F276" t="s">
        <v>551</v>
      </c>
      <c r="G276" s="2" t="s">
        <v>221</v>
      </c>
      <c r="H276" s="4">
        <v>-205000</v>
      </c>
      <c r="I276" t="s">
        <v>21</v>
      </c>
    </row>
    <row r="277" spans="1:9" x14ac:dyDescent="0.25">
      <c r="A277">
        <v>6579750</v>
      </c>
      <c r="B277" t="s">
        <v>18</v>
      </c>
      <c r="C277" t="s">
        <v>19</v>
      </c>
      <c r="D277" s="1">
        <v>45658</v>
      </c>
      <c r="E277" s="1">
        <v>46022</v>
      </c>
      <c r="F277" t="s">
        <v>552</v>
      </c>
      <c r="G277" s="2" t="s">
        <v>222</v>
      </c>
      <c r="H277" s="4">
        <v>0</v>
      </c>
      <c r="I277" t="s">
        <v>21</v>
      </c>
    </row>
    <row r="278" spans="1:9" x14ac:dyDescent="0.25">
      <c r="A278">
        <v>6579751</v>
      </c>
      <c r="B278" t="s">
        <v>18</v>
      </c>
      <c r="C278" t="s">
        <v>19</v>
      </c>
      <c r="D278" s="1">
        <v>45658</v>
      </c>
      <c r="E278" s="1">
        <v>46022</v>
      </c>
      <c r="F278" t="s">
        <v>553</v>
      </c>
      <c r="G278" s="2" t="s">
        <v>223</v>
      </c>
      <c r="H278" s="4">
        <v>0</v>
      </c>
      <c r="I278" t="s">
        <v>21</v>
      </c>
    </row>
    <row r="279" spans="1:9" x14ac:dyDescent="0.25">
      <c r="A279">
        <v>6579752</v>
      </c>
      <c r="B279" t="s">
        <v>18</v>
      </c>
      <c r="C279" t="s">
        <v>19</v>
      </c>
      <c r="D279" s="1">
        <v>45658</v>
      </c>
      <c r="E279" s="1">
        <v>46022</v>
      </c>
      <c r="F279" t="s">
        <v>554</v>
      </c>
      <c r="G279" s="2" t="s">
        <v>224</v>
      </c>
      <c r="H279" s="4">
        <v>0</v>
      </c>
      <c r="I279" t="s">
        <v>21</v>
      </c>
    </row>
    <row r="280" spans="1:9" x14ac:dyDescent="0.25">
      <c r="A280">
        <v>6579753</v>
      </c>
      <c r="B280" t="s">
        <v>18</v>
      </c>
      <c r="C280" t="s">
        <v>19</v>
      </c>
      <c r="D280" s="1">
        <v>45658</v>
      </c>
      <c r="E280" s="1">
        <v>46022</v>
      </c>
      <c r="F280" t="s">
        <v>555</v>
      </c>
      <c r="G280" s="2" t="s">
        <v>225</v>
      </c>
      <c r="H280" s="4">
        <v>0</v>
      </c>
      <c r="I280" t="s">
        <v>21</v>
      </c>
    </row>
    <row r="281" spans="1:9" x14ac:dyDescent="0.25">
      <c r="A281">
        <v>6579754</v>
      </c>
      <c r="B281" t="s">
        <v>18</v>
      </c>
      <c r="C281" t="s">
        <v>19</v>
      </c>
      <c r="D281" s="1">
        <v>45658</v>
      </c>
      <c r="E281" s="1">
        <v>46022</v>
      </c>
      <c r="F281" t="s">
        <v>556</v>
      </c>
      <c r="G281" s="2" t="s">
        <v>222</v>
      </c>
      <c r="H281" s="4">
        <v>0</v>
      </c>
      <c r="I281" t="s">
        <v>21</v>
      </c>
    </row>
    <row r="282" spans="1:9" x14ac:dyDescent="0.25">
      <c r="A282">
        <v>6579755</v>
      </c>
      <c r="B282" t="s">
        <v>18</v>
      </c>
      <c r="C282" t="s">
        <v>19</v>
      </c>
      <c r="D282" s="1">
        <v>45658</v>
      </c>
      <c r="E282" s="1">
        <v>46022</v>
      </c>
      <c r="F282" t="s">
        <v>557</v>
      </c>
      <c r="G282" s="2" t="s">
        <v>226</v>
      </c>
      <c r="H282" s="4">
        <v>0</v>
      </c>
      <c r="I282" t="s">
        <v>21</v>
      </c>
    </row>
    <row r="283" spans="1:9" x14ac:dyDescent="0.25">
      <c r="A283">
        <v>6579756</v>
      </c>
      <c r="B283" t="s">
        <v>18</v>
      </c>
      <c r="C283" t="s">
        <v>19</v>
      </c>
      <c r="D283" s="1">
        <v>45658</v>
      </c>
      <c r="E283" s="1">
        <v>46022</v>
      </c>
      <c r="F283" t="s">
        <v>558</v>
      </c>
      <c r="G283" s="2" t="s">
        <v>227</v>
      </c>
      <c r="H283" s="4">
        <v>0</v>
      </c>
      <c r="I283" t="s">
        <v>21</v>
      </c>
    </row>
    <row r="284" spans="1:9" x14ac:dyDescent="0.25">
      <c r="A284">
        <v>6579757</v>
      </c>
      <c r="B284" t="s">
        <v>18</v>
      </c>
      <c r="C284" t="s">
        <v>19</v>
      </c>
      <c r="D284" s="1">
        <v>45658</v>
      </c>
      <c r="E284" s="1">
        <v>46022</v>
      </c>
      <c r="F284" t="s">
        <v>559</v>
      </c>
      <c r="G284" s="2" t="s">
        <v>228</v>
      </c>
      <c r="H284" s="4">
        <v>-123000</v>
      </c>
      <c r="I284" t="s">
        <v>21</v>
      </c>
    </row>
    <row r="285" spans="1:9" x14ac:dyDescent="0.25">
      <c r="A285">
        <v>6579758</v>
      </c>
      <c r="B285" t="s">
        <v>18</v>
      </c>
      <c r="C285" t="s">
        <v>19</v>
      </c>
      <c r="D285" s="1">
        <v>45658</v>
      </c>
      <c r="E285" s="1">
        <v>46022</v>
      </c>
      <c r="F285" t="s">
        <v>560</v>
      </c>
      <c r="G285" s="13" t="s">
        <v>229</v>
      </c>
      <c r="H285" s="4">
        <v>-445000</v>
      </c>
      <c r="I285" t="s">
        <v>21</v>
      </c>
    </row>
    <row r="286" spans="1:9" x14ac:dyDescent="0.25">
      <c r="A286">
        <v>6579759</v>
      </c>
      <c r="B286" t="s">
        <v>18</v>
      </c>
      <c r="C286" t="s">
        <v>19</v>
      </c>
      <c r="D286" s="1">
        <v>45658</v>
      </c>
      <c r="E286" s="1">
        <v>46022</v>
      </c>
      <c r="F286" t="s">
        <v>561</v>
      </c>
      <c r="G286" s="2" t="s">
        <v>230</v>
      </c>
      <c r="H286" s="4">
        <v>0</v>
      </c>
      <c r="I286" t="s">
        <v>21</v>
      </c>
    </row>
    <row r="287" spans="1:9" x14ac:dyDescent="0.25">
      <c r="A287">
        <v>6579760</v>
      </c>
      <c r="B287" t="s">
        <v>18</v>
      </c>
      <c r="C287" t="s">
        <v>19</v>
      </c>
      <c r="D287" s="1">
        <v>45658</v>
      </c>
      <c r="E287" s="1">
        <v>46022</v>
      </c>
      <c r="F287" t="s">
        <v>562</v>
      </c>
      <c r="G287" s="2" t="s">
        <v>231</v>
      </c>
      <c r="H287" s="4">
        <v>-1000</v>
      </c>
      <c r="I287" t="s">
        <v>21</v>
      </c>
    </row>
    <row r="288" spans="1:9" x14ac:dyDescent="0.25">
      <c r="A288">
        <v>6579761</v>
      </c>
      <c r="B288" t="s">
        <v>18</v>
      </c>
      <c r="C288" t="s">
        <v>19</v>
      </c>
      <c r="D288" s="1">
        <v>45658</v>
      </c>
      <c r="E288" s="1">
        <v>46022</v>
      </c>
      <c r="F288" t="s">
        <v>563</v>
      </c>
      <c r="G288" s="2" t="s">
        <v>110</v>
      </c>
      <c r="H288" s="4">
        <v>0</v>
      </c>
      <c r="I288" t="s">
        <v>21</v>
      </c>
    </row>
    <row r="289" spans="1:9" x14ac:dyDescent="0.25">
      <c r="A289">
        <v>6579762</v>
      </c>
      <c r="B289" t="s">
        <v>18</v>
      </c>
      <c r="C289" t="s">
        <v>19</v>
      </c>
      <c r="D289" s="1">
        <v>45658</v>
      </c>
      <c r="E289" s="1">
        <v>46022</v>
      </c>
      <c r="F289" t="s">
        <v>564</v>
      </c>
      <c r="G289" s="2" t="s">
        <v>232</v>
      </c>
      <c r="H289" s="4">
        <v>-365000</v>
      </c>
      <c r="I289" t="s">
        <v>21</v>
      </c>
    </row>
    <row r="290" spans="1:9" x14ac:dyDescent="0.25">
      <c r="A290">
        <v>6579763</v>
      </c>
      <c r="B290" t="s">
        <v>18</v>
      </c>
      <c r="C290" t="s">
        <v>19</v>
      </c>
      <c r="D290" s="1">
        <v>45658</v>
      </c>
      <c r="E290" s="1">
        <v>46022</v>
      </c>
      <c r="F290" t="s">
        <v>565</v>
      </c>
      <c r="G290" s="2" t="s">
        <v>233</v>
      </c>
      <c r="H290" s="4">
        <v>0</v>
      </c>
      <c r="I290" t="s">
        <v>21</v>
      </c>
    </row>
    <row r="291" spans="1:9" x14ac:dyDescent="0.25">
      <c r="A291">
        <v>6579764</v>
      </c>
      <c r="B291" t="s">
        <v>18</v>
      </c>
      <c r="C291" t="s">
        <v>19</v>
      </c>
      <c r="D291" s="1">
        <v>45658</v>
      </c>
      <c r="E291" s="1">
        <v>46022</v>
      </c>
      <c r="F291" t="s">
        <v>566</v>
      </c>
      <c r="G291" s="2" t="s">
        <v>234</v>
      </c>
      <c r="H291" s="4">
        <v>0</v>
      </c>
      <c r="I291" t="s">
        <v>21</v>
      </c>
    </row>
    <row r="292" spans="1:9" x14ac:dyDescent="0.25">
      <c r="A292">
        <v>6579765</v>
      </c>
      <c r="B292" t="s">
        <v>18</v>
      </c>
      <c r="C292" t="s">
        <v>19</v>
      </c>
      <c r="D292" s="1">
        <v>45658</v>
      </c>
      <c r="E292" s="1">
        <v>46022</v>
      </c>
      <c r="F292" t="s">
        <v>567</v>
      </c>
      <c r="G292" s="2" t="s">
        <v>235</v>
      </c>
      <c r="H292" s="4">
        <v>0</v>
      </c>
      <c r="I292" t="s">
        <v>21</v>
      </c>
    </row>
    <row r="293" spans="1:9" x14ac:dyDescent="0.25">
      <c r="A293">
        <v>6579766</v>
      </c>
      <c r="B293" t="s">
        <v>18</v>
      </c>
      <c r="C293" t="s">
        <v>19</v>
      </c>
      <c r="D293" s="1">
        <v>45658</v>
      </c>
      <c r="E293" s="1">
        <v>46022</v>
      </c>
      <c r="F293" t="s">
        <v>568</v>
      </c>
      <c r="G293" s="2" t="s">
        <v>232</v>
      </c>
      <c r="H293" s="4">
        <v>0</v>
      </c>
      <c r="I293" t="s">
        <v>21</v>
      </c>
    </row>
    <row r="294" spans="1:9" x14ac:dyDescent="0.25">
      <c r="A294">
        <v>6579767</v>
      </c>
      <c r="B294" t="s">
        <v>18</v>
      </c>
      <c r="C294" t="s">
        <v>19</v>
      </c>
      <c r="D294" s="1">
        <v>45658</v>
      </c>
      <c r="E294" s="1">
        <v>46022</v>
      </c>
      <c r="F294" t="s">
        <v>569</v>
      </c>
      <c r="G294" s="2" t="s">
        <v>236</v>
      </c>
      <c r="H294" s="4">
        <v>0</v>
      </c>
      <c r="I294" t="s">
        <v>21</v>
      </c>
    </row>
    <row r="295" spans="1:9" x14ac:dyDescent="0.25">
      <c r="A295">
        <v>6579768</v>
      </c>
      <c r="B295" t="s">
        <v>18</v>
      </c>
      <c r="C295" t="s">
        <v>19</v>
      </c>
      <c r="D295" s="1">
        <v>45658</v>
      </c>
      <c r="E295" s="1">
        <v>46022</v>
      </c>
      <c r="F295" t="s">
        <v>570</v>
      </c>
      <c r="G295" s="2" t="s">
        <v>237</v>
      </c>
      <c r="H295" s="4">
        <v>0</v>
      </c>
      <c r="I295" t="s">
        <v>21</v>
      </c>
    </row>
    <row r="296" spans="1:9" x14ac:dyDescent="0.25">
      <c r="A296">
        <v>6579769</v>
      </c>
      <c r="B296" t="s">
        <v>18</v>
      </c>
      <c r="C296" t="s">
        <v>19</v>
      </c>
      <c r="D296" s="1">
        <v>45658</v>
      </c>
      <c r="E296" s="1">
        <v>46022</v>
      </c>
      <c r="F296" t="s">
        <v>571</v>
      </c>
      <c r="G296" s="2" t="s">
        <v>238</v>
      </c>
      <c r="H296" s="4">
        <v>0</v>
      </c>
      <c r="I296" t="s">
        <v>21</v>
      </c>
    </row>
    <row r="297" spans="1:9" x14ac:dyDescent="0.25">
      <c r="A297">
        <v>6579770</v>
      </c>
      <c r="B297" t="s">
        <v>18</v>
      </c>
      <c r="C297" t="s">
        <v>19</v>
      </c>
      <c r="D297" s="1">
        <v>45658</v>
      </c>
      <c r="E297" s="1">
        <v>46022</v>
      </c>
      <c r="F297" t="s">
        <v>572</v>
      </c>
      <c r="G297" s="2" t="s">
        <v>110</v>
      </c>
      <c r="H297" s="4">
        <v>0</v>
      </c>
      <c r="I297" t="s">
        <v>21</v>
      </c>
    </row>
    <row r="298" spans="1:9" x14ac:dyDescent="0.25">
      <c r="A298">
        <v>6579771</v>
      </c>
      <c r="B298" t="s">
        <v>18</v>
      </c>
      <c r="C298" t="s">
        <v>19</v>
      </c>
      <c r="D298" s="1">
        <v>45658</v>
      </c>
      <c r="E298" s="1">
        <v>46022</v>
      </c>
      <c r="F298" t="s">
        <v>573</v>
      </c>
      <c r="G298" s="2" t="s">
        <v>228</v>
      </c>
      <c r="H298" s="4">
        <v>-79000</v>
      </c>
      <c r="I298" t="s">
        <v>21</v>
      </c>
    </row>
    <row r="299" spans="1:9" x14ac:dyDescent="0.25">
      <c r="A299">
        <v>6579772</v>
      </c>
      <c r="B299" t="s">
        <v>18</v>
      </c>
      <c r="C299" t="s">
        <v>19</v>
      </c>
      <c r="D299" s="1">
        <v>45658</v>
      </c>
      <c r="E299" s="1">
        <v>46022</v>
      </c>
      <c r="F299" t="s">
        <v>574</v>
      </c>
      <c r="G299" s="13" t="s">
        <v>239</v>
      </c>
      <c r="H299" s="4">
        <v>0</v>
      </c>
      <c r="I299" t="s">
        <v>21</v>
      </c>
    </row>
    <row r="300" spans="1:9" x14ac:dyDescent="0.25">
      <c r="A300">
        <v>6579773</v>
      </c>
      <c r="B300" t="s">
        <v>18</v>
      </c>
      <c r="C300" t="s">
        <v>19</v>
      </c>
      <c r="D300" s="1">
        <v>45658</v>
      </c>
      <c r="E300" s="1">
        <v>46022</v>
      </c>
      <c r="F300" t="s">
        <v>575</v>
      </c>
      <c r="G300" s="13" t="s">
        <v>240</v>
      </c>
      <c r="H300" s="4">
        <v>-216000</v>
      </c>
      <c r="I300" t="s">
        <v>21</v>
      </c>
    </row>
    <row r="301" spans="1:9" x14ac:dyDescent="0.25">
      <c r="A301">
        <v>6579774</v>
      </c>
      <c r="B301" t="s">
        <v>18</v>
      </c>
      <c r="C301" t="s">
        <v>19</v>
      </c>
      <c r="D301" s="1">
        <v>45658</v>
      </c>
      <c r="E301" s="1">
        <v>46022</v>
      </c>
      <c r="F301" t="s">
        <v>576</v>
      </c>
      <c r="G301" s="2" t="s">
        <v>241</v>
      </c>
      <c r="H301" s="4">
        <v>1129000</v>
      </c>
      <c r="I301" t="s">
        <v>21</v>
      </c>
    </row>
    <row r="302" spans="1:9" x14ac:dyDescent="0.25">
      <c r="A302">
        <v>6579775</v>
      </c>
      <c r="B302" t="s">
        <v>18</v>
      </c>
      <c r="C302" t="s">
        <v>19</v>
      </c>
      <c r="D302" s="1">
        <v>45658</v>
      </c>
      <c r="E302" s="1">
        <v>46022</v>
      </c>
      <c r="F302" t="s">
        <v>577</v>
      </c>
      <c r="G302" s="2" t="s">
        <v>242</v>
      </c>
      <c r="H302" s="4">
        <v>913000</v>
      </c>
      <c r="I302" t="s">
        <v>21</v>
      </c>
    </row>
    <row r="303" spans="1:9" x14ac:dyDescent="0.25">
      <c r="A303">
        <v>6579776</v>
      </c>
      <c r="B303" t="s">
        <v>18</v>
      </c>
      <c r="C303" t="s">
        <v>19</v>
      </c>
      <c r="D303" s="1">
        <v>45658</v>
      </c>
      <c r="E303" s="1">
        <v>46022</v>
      </c>
      <c r="F303" t="s">
        <v>578</v>
      </c>
      <c r="G303" s="13" t="s">
        <v>243</v>
      </c>
      <c r="H303" s="4">
        <v>15130000</v>
      </c>
      <c r="I303" t="s">
        <v>21</v>
      </c>
    </row>
    <row r="304" spans="1:9" x14ac:dyDescent="0.25">
      <c r="A304">
        <v>6579777</v>
      </c>
      <c r="B304" t="s">
        <v>18</v>
      </c>
      <c r="C304" t="s">
        <v>19</v>
      </c>
      <c r="D304" s="1">
        <v>45658</v>
      </c>
      <c r="E304" s="1">
        <v>46022</v>
      </c>
      <c r="F304" t="s">
        <v>579</v>
      </c>
      <c r="G304" s="2" t="s">
        <v>244</v>
      </c>
      <c r="H304" s="4">
        <v>14753000</v>
      </c>
      <c r="I304" t="s">
        <v>21</v>
      </c>
    </row>
    <row r="305" spans="1:9" x14ac:dyDescent="0.25">
      <c r="A305">
        <v>6579778</v>
      </c>
      <c r="B305" t="s">
        <v>18</v>
      </c>
      <c r="C305" t="s">
        <v>19</v>
      </c>
      <c r="D305" s="1">
        <v>45658</v>
      </c>
      <c r="E305" s="1">
        <v>46022</v>
      </c>
      <c r="F305" t="s">
        <v>580</v>
      </c>
      <c r="G305" s="2" t="s">
        <v>245</v>
      </c>
      <c r="H305" s="4">
        <v>398000</v>
      </c>
      <c r="I305" t="s">
        <v>21</v>
      </c>
    </row>
    <row r="306" spans="1:9" x14ac:dyDescent="0.25">
      <c r="A306">
        <v>6579779</v>
      </c>
      <c r="B306" t="s">
        <v>18</v>
      </c>
      <c r="C306" t="s">
        <v>19</v>
      </c>
      <c r="D306" s="1">
        <v>45658</v>
      </c>
      <c r="E306" s="1">
        <v>46022</v>
      </c>
      <c r="F306" t="s">
        <v>581</v>
      </c>
      <c r="G306" s="2" t="s">
        <v>246</v>
      </c>
      <c r="H306" s="4">
        <v>0</v>
      </c>
      <c r="I306" t="s">
        <v>21</v>
      </c>
    </row>
    <row r="307" spans="1:9" x14ac:dyDescent="0.25">
      <c r="A307">
        <v>6579780</v>
      </c>
      <c r="B307" t="s">
        <v>18</v>
      </c>
      <c r="C307" t="s">
        <v>19</v>
      </c>
      <c r="D307" s="1">
        <v>45658</v>
      </c>
      <c r="E307" s="1">
        <v>46022</v>
      </c>
      <c r="F307" t="s">
        <v>582</v>
      </c>
      <c r="G307" s="2" t="s">
        <v>247</v>
      </c>
      <c r="H307" s="4">
        <v>-21000</v>
      </c>
      <c r="I307" t="s">
        <v>21</v>
      </c>
    </row>
    <row r="308" spans="1:9" x14ac:dyDescent="0.25">
      <c r="A308">
        <v>6579781</v>
      </c>
      <c r="B308" t="s">
        <v>18</v>
      </c>
      <c r="C308" t="s">
        <v>19</v>
      </c>
      <c r="D308" s="1">
        <v>45658</v>
      </c>
      <c r="E308" s="1">
        <v>46022</v>
      </c>
      <c r="F308" t="s">
        <v>583</v>
      </c>
      <c r="G308" s="13" t="s">
        <v>248</v>
      </c>
      <c r="H308" s="4">
        <v>-11653000</v>
      </c>
      <c r="I308" t="s">
        <v>21</v>
      </c>
    </row>
    <row r="309" spans="1:9" x14ac:dyDescent="0.25">
      <c r="A309">
        <v>6579782</v>
      </c>
      <c r="B309" t="s">
        <v>18</v>
      </c>
      <c r="C309" t="s">
        <v>19</v>
      </c>
      <c r="D309" s="1">
        <v>45658</v>
      </c>
      <c r="E309" s="1">
        <v>46022</v>
      </c>
      <c r="F309" t="s">
        <v>584</v>
      </c>
      <c r="G309" s="2" t="s">
        <v>249</v>
      </c>
      <c r="H309" s="4">
        <v>-10245000</v>
      </c>
      <c r="I309" t="s">
        <v>21</v>
      </c>
    </row>
    <row r="310" spans="1:9" x14ac:dyDescent="0.25">
      <c r="A310">
        <v>6579783</v>
      </c>
      <c r="B310" t="s">
        <v>18</v>
      </c>
      <c r="C310" t="s">
        <v>19</v>
      </c>
      <c r="D310" s="1">
        <v>45658</v>
      </c>
      <c r="E310" s="1">
        <v>46022</v>
      </c>
      <c r="F310" t="s">
        <v>585</v>
      </c>
      <c r="G310" s="2" t="s">
        <v>250</v>
      </c>
      <c r="H310" s="4">
        <v>-1408000</v>
      </c>
      <c r="I310" t="s">
        <v>21</v>
      </c>
    </row>
    <row r="311" spans="1:9" x14ac:dyDescent="0.25">
      <c r="A311">
        <v>6579784</v>
      </c>
      <c r="B311" t="s">
        <v>18</v>
      </c>
      <c r="C311" t="s">
        <v>19</v>
      </c>
      <c r="D311" s="1">
        <v>45658</v>
      </c>
      <c r="E311" s="1">
        <v>46022</v>
      </c>
      <c r="F311" t="s">
        <v>586</v>
      </c>
      <c r="G311" s="2" t="s">
        <v>251</v>
      </c>
      <c r="H311" s="4">
        <v>0</v>
      </c>
      <c r="I311" t="s">
        <v>21</v>
      </c>
    </row>
    <row r="312" spans="1:9" x14ac:dyDescent="0.25">
      <c r="A312">
        <v>6579785</v>
      </c>
      <c r="B312" t="s">
        <v>18</v>
      </c>
      <c r="C312" t="s">
        <v>19</v>
      </c>
      <c r="D312" s="1">
        <v>45658</v>
      </c>
      <c r="E312" s="1">
        <v>46022</v>
      </c>
      <c r="F312" t="s">
        <v>587</v>
      </c>
      <c r="G312" s="2" t="s">
        <v>44</v>
      </c>
      <c r="H312" s="4">
        <v>0</v>
      </c>
      <c r="I312" t="s">
        <v>21</v>
      </c>
    </row>
    <row r="313" spans="1:9" x14ac:dyDescent="0.25">
      <c r="A313">
        <v>6579786</v>
      </c>
      <c r="B313" t="s">
        <v>18</v>
      </c>
      <c r="C313" t="s">
        <v>19</v>
      </c>
      <c r="D313" s="1">
        <v>45658</v>
      </c>
      <c r="E313" s="1">
        <v>46022</v>
      </c>
      <c r="F313" t="s">
        <v>588</v>
      </c>
      <c r="G313" s="13" t="s">
        <v>252</v>
      </c>
      <c r="H313" s="4">
        <v>3477000</v>
      </c>
      <c r="I313" t="s">
        <v>21</v>
      </c>
    </row>
    <row r="314" spans="1:9" x14ac:dyDescent="0.25">
      <c r="A314">
        <v>6579787</v>
      </c>
      <c r="B314" t="s">
        <v>18</v>
      </c>
      <c r="C314" t="s">
        <v>19</v>
      </c>
      <c r="D314" s="1">
        <v>45658</v>
      </c>
      <c r="E314" s="1">
        <v>46022</v>
      </c>
      <c r="F314" t="s">
        <v>589</v>
      </c>
      <c r="G314" s="13" t="s">
        <v>253</v>
      </c>
      <c r="H314" s="4">
        <v>-295000</v>
      </c>
      <c r="I314" t="s">
        <v>21</v>
      </c>
    </row>
    <row r="315" spans="1:9" x14ac:dyDescent="0.25">
      <c r="A315">
        <v>6579788</v>
      </c>
      <c r="B315" t="s">
        <v>18</v>
      </c>
      <c r="C315" t="s">
        <v>19</v>
      </c>
      <c r="D315" s="1">
        <v>45658</v>
      </c>
      <c r="E315" s="1">
        <v>46022</v>
      </c>
      <c r="F315" t="s">
        <v>590</v>
      </c>
      <c r="G315" s="2" t="s">
        <v>254</v>
      </c>
      <c r="H315" s="4">
        <v>-808000</v>
      </c>
      <c r="I315" t="s">
        <v>21</v>
      </c>
    </row>
    <row r="316" spans="1:9" x14ac:dyDescent="0.25">
      <c r="A316">
        <v>6579789</v>
      </c>
      <c r="B316" t="s">
        <v>18</v>
      </c>
      <c r="C316" t="s">
        <v>19</v>
      </c>
      <c r="D316" s="1">
        <v>45658</v>
      </c>
      <c r="E316" s="1">
        <v>46022</v>
      </c>
      <c r="F316" t="s">
        <v>591</v>
      </c>
      <c r="G316" s="2" t="s">
        <v>255</v>
      </c>
      <c r="H316" s="4">
        <v>513000</v>
      </c>
      <c r="I316" t="s">
        <v>21</v>
      </c>
    </row>
    <row r="317" spans="1:9" x14ac:dyDescent="0.25">
      <c r="A317">
        <v>6579790</v>
      </c>
      <c r="B317" t="s">
        <v>18</v>
      </c>
      <c r="C317" t="s">
        <v>19</v>
      </c>
      <c r="D317" s="1">
        <v>45658</v>
      </c>
      <c r="E317" s="1">
        <v>46022</v>
      </c>
      <c r="F317" t="s">
        <v>592</v>
      </c>
      <c r="G317" s="14" t="s">
        <v>256</v>
      </c>
      <c r="H317" s="4">
        <v>513000</v>
      </c>
      <c r="I317" t="s">
        <v>21</v>
      </c>
    </row>
    <row r="318" spans="1:9" x14ac:dyDescent="0.25">
      <c r="A318">
        <v>6579791</v>
      </c>
      <c r="B318" t="s">
        <v>18</v>
      </c>
      <c r="C318" t="s">
        <v>19</v>
      </c>
      <c r="D318" s="1">
        <v>45658</v>
      </c>
      <c r="E318" s="1">
        <v>46022</v>
      </c>
      <c r="F318" t="s">
        <v>593</v>
      </c>
      <c r="G318" s="13" t="s">
        <v>257</v>
      </c>
      <c r="H318" s="4">
        <v>3182000</v>
      </c>
      <c r="I318" t="s">
        <v>21</v>
      </c>
    </row>
    <row r="319" spans="1:9" x14ac:dyDescent="0.25">
      <c r="A319">
        <v>6579792</v>
      </c>
      <c r="B319" t="s">
        <v>18</v>
      </c>
      <c r="C319" t="s">
        <v>19</v>
      </c>
      <c r="D319" s="1">
        <v>45658</v>
      </c>
      <c r="E319" s="1">
        <v>46022</v>
      </c>
      <c r="F319" t="s">
        <v>594</v>
      </c>
      <c r="G319" s="13" t="s">
        <v>258</v>
      </c>
      <c r="H319" s="4">
        <v>963000</v>
      </c>
      <c r="I319" t="s">
        <v>21</v>
      </c>
    </row>
    <row r="320" spans="1:9" x14ac:dyDescent="0.25">
      <c r="A320">
        <v>6579793</v>
      </c>
      <c r="B320" t="s">
        <v>18</v>
      </c>
      <c r="C320" t="s">
        <v>19</v>
      </c>
      <c r="D320" s="1">
        <v>45658</v>
      </c>
      <c r="E320" s="1">
        <v>46022</v>
      </c>
      <c r="F320" t="s">
        <v>595</v>
      </c>
      <c r="G320" s="2" t="s">
        <v>172</v>
      </c>
      <c r="H320" s="4">
        <v>0</v>
      </c>
      <c r="I320" t="s">
        <v>21</v>
      </c>
    </row>
    <row r="321" spans="1:9" x14ac:dyDescent="0.25">
      <c r="A321">
        <v>6579794</v>
      </c>
      <c r="B321" t="s">
        <v>18</v>
      </c>
      <c r="C321" t="s">
        <v>19</v>
      </c>
      <c r="D321" s="1">
        <v>45658</v>
      </c>
      <c r="E321" s="1">
        <v>46022</v>
      </c>
      <c r="F321" t="s">
        <v>596</v>
      </c>
      <c r="G321" s="2" t="s">
        <v>175</v>
      </c>
      <c r="H321" s="4">
        <v>963000</v>
      </c>
      <c r="I321" t="s">
        <v>21</v>
      </c>
    </row>
    <row r="322" spans="1:9" x14ac:dyDescent="0.25">
      <c r="A322">
        <v>6579795</v>
      </c>
      <c r="B322" t="s">
        <v>18</v>
      </c>
      <c r="C322" t="s">
        <v>19</v>
      </c>
      <c r="D322" s="1">
        <v>45658</v>
      </c>
      <c r="E322" s="1">
        <v>46022</v>
      </c>
      <c r="F322" t="s">
        <v>597</v>
      </c>
      <c r="G322" s="2" t="s">
        <v>44</v>
      </c>
      <c r="H322" s="4">
        <v>0</v>
      </c>
      <c r="I322" t="s">
        <v>21</v>
      </c>
    </row>
    <row r="323" spans="1:9" x14ac:dyDescent="0.25">
      <c r="A323">
        <v>6579796</v>
      </c>
      <c r="B323" t="s">
        <v>18</v>
      </c>
      <c r="C323" t="s">
        <v>19</v>
      </c>
      <c r="D323" s="1">
        <v>45658</v>
      </c>
      <c r="E323" s="1">
        <v>46022</v>
      </c>
      <c r="F323" t="s">
        <v>598</v>
      </c>
      <c r="G323" s="13" t="s">
        <v>259</v>
      </c>
      <c r="H323" s="4">
        <v>4145000</v>
      </c>
      <c r="I323" t="s">
        <v>21</v>
      </c>
    </row>
    <row r="324" spans="1:9" x14ac:dyDescent="0.25">
      <c r="A324">
        <v>6579797</v>
      </c>
      <c r="B324" t="s">
        <v>18</v>
      </c>
      <c r="C324" t="s">
        <v>19</v>
      </c>
      <c r="D324" s="1">
        <v>45658</v>
      </c>
      <c r="E324" s="1">
        <v>46022</v>
      </c>
      <c r="F324" t="s">
        <v>599</v>
      </c>
      <c r="G324" s="13" t="s">
        <v>260</v>
      </c>
      <c r="H324" s="4">
        <v>4145000</v>
      </c>
      <c r="I324" t="s">
        <v>21</v>
      </c>
    </row>
    <row r="325" spans="1:9" x14ac:dyDescent="0.25">
      <c r="A325">
        <v>6579798</v>
      </c>
      <c r="B325" t="s">
        <v>18</v>
      </c>
      <c r="C325" t="s">
        <v>19</v>
      </c>
      <c r="D325" s="1">
        <v>45658</v>
      </c>
      <c r="E325" s="1">
        <v>46022</v>
      </c>
      <c r="F325" t="s">
        <v>600</v>
      </c>
      <c r="G325" s="2" t="s">
        <v>261</v>
      </c>
      <c r="H325" s="4">
        <v>1609000</v>
      </c>
      <c r="I325" t="s">
        <v>21</v>
      </c>
    </row>
    <row r="326" spans="1:9" x14ac:dyDescent="0.25">
      <c r="A326">
        <v>6579799</v>
      </c>
      <c r="B326" t="s">
        <v>18</v>
      </c>
      <c r="C326" t="s">
        <v>19</v>
      </c>
      <c r="D326" s="1">
        <v>45658</v>
      </c>
      <c r="E326" s="1">
        <v>46022</v>
      </c>
      <c r="F326" t="s">
        <v>601</v>
      </c>
      <c r="G326" s="14" t="s">
        <v>262</v>
      </c>
      <c r="H326" s="4">
        <v>1222000</v>
      </c>
      <c r="I326" t="s">
        <v>21</v>
      </c>
    </row>
    <row r="327" spans="1:9" x14ac:dyDescent="0.25">
      <c r="A327">
        <v>6579800</v>
      </c>
      <c r="B327" t="s">
        <v>18</v>
      </c>
      <c r="C327" t="s">
        <v>19</v>
      </c>
      <c r="D327" s="1">
        <v>45658</v>
      </c>
      <c r="E327" s="1">
        <v>46022</v>
      </c>
      <c r="F327" t="s">
        <v>602</v>
      </c>
      <c r="G327" s="14" t="s">
        <v>263</v>
      </c>
      <c r="H327" s="4">
        <v>267000</v>
      </c>
      <c r="I327" t="s">
        <v>21</v>
      </c>
    </row>
    <row r="328" spans="1:9" x14ac:dyDescent="0.25">
      <c r="A328">
        <v>6579801</v>
      </c>
      <c r="B328" t="s">
        <v>18</v>
      </c>
      <c r="C328" t="s">
        <v>19</v>
      </c>
      <c r="D328" s="1">
        <v>45658</v>
      </c>
      <c r="E328" s="1">
        <v>46022</v>
      </c>
      <c r="F328" t="s">
        <v>603</v>
      </c>
      <c r="G328" s="14" t="s">
        <v>264</v>
      </c>
      <c r="H328" s="4">
        <v>120000</v>
      </c>
      <c r="I328" t="s">
        <v>21</v>
      </c>
    </row>
    <row r="329" spans="1:9" x14ac:dyDescent="0.25">
      <c r="A329">
        <v>6579802</v>
      </c>
      <c r="B329" t="s">
        <v>18</v>
      </c>
      <c r="C329" t="s">
        <v>19</v>
      </c>
      <c r="D329" s="1">
        <v>45658</v>
      </c>
      <c r="E329" s="1">
        <v>46022</v>
      </c>
      <c r="F329" t="s">
        <v>604</v>
      </c>
      <c r="G329" s="14" t="s">
        <v>44</v>
      </c>
      <c r="H329" s="4">
        <v>0</v>
      </c>
      <c r="I329" t="s">
        <v>21</v>
      </c>
    </row>
    <row r="330" spans="1:9" x14ac:dyDescent="0.25">
      <c r="A330">
        <v>6579803</v>
      </c>
      <c r="B330" t="s">
        <v>18</v>
      </c>
      <c r="C330" t="s">
        <v>19</v>
      </c>
      <c r="D330" s="1">
        <v>45658</v>
      </c>
      <c r="E330" s="1">
        <v>46022</v>
      </c>
      <c r="F330" t="s">
        <v>605</v>
      </c>
      <c r="G330" s="2" t="s">
        <v>265</v>
      </c>
      <c r="H330" s="4">
        <v>1525000</v>
      </c>
      <c r="I330" t="s">
        <v>21</v>
      </c>
    </row>
    <row r="331" spans="1:9" x14ac:dyDescent="0.25">
      <c r="A331">
        <v>6579804</v>
      </c>
      <c r="B331" t="s">
        <v>18</v>
      </c>
      <c r="C331" t="s">
        <v>19</v>
      </c>
      <c r="D331" s="1">
        <v>45658</v>
      </c>
      <c r="E331" s="1">
        <v>46022</v>
      </c>
      <c r="F331" t="s">
        <v>606</v>
      </c>
      <c r="G331" s="14" t="s">
        <v>266</v>
      </c>
      <c r="H331" s="4">
        <v>390000</v>
      </c>
      <c r="I331" t="s">
        <v>21</v>
      </c>
    </row>
    <row r="332" spans="1:9" x14ac:dyDescent="0.25">
      <c r="A332">
        <v>6579805</v>
      </c>
      <c r="B332" t="s">
        <v>18</v>
      </c>
      <c r="C332" t="s">
        <v>19</v>
      </c>
      <c r="D332" s="1">
        <v>45658</v>
      </c>
      <c r="E332" s="1">
        <v>46022</v>
      </c>
      <c r="F332" t="s">
        <v>607</v>
      </c>
      <c r="G332" s="14" t="s">
        <v>267</v>
      </c>
      <c r="H332" s="4">
        <v>1059000</v>
      </c>
      <c r="I332" t="s">
        <v>21</v>
      </c>
    </row>
    <row r="333" spans="1:9" x14ac:dyDescent="0.25">
      <c r="A333">
        <v>6579806</v>
      </c>
      <c r="B333" t="s">
        <v>18</v>
      </c>
      <c r="C333" t="s">
        <v>19</v>
      </c>
      <c r="D333" s="1">
        <v>45658</v>
      </c>
      <c r="E333" s="1">
        <v>46022</v>
      </c>
      <c r="F333" t="s">
        <v>608</v>
      </c>
      <c r="G333" s="14" t="s">
        <v>268</v>
      </c>
      <c r="H333" s="4">
        <v>76000</v>
      </c>
      <c r="I333" t="s">
        <v>21</v>
      </c>
    </row>
    <row r="334" spans="1:9" x14ac:dyDescent="0.25">
      <c r="A334">
        <v>6579807</v>
      </c>
      <c r="B334" t="s">
        <v>18</v>
      </c>
      <c r="C334" t="s">
        <v>19</v>
      </c>
      <c r="D334" s="1">
        <v>45658</v>
      </c>
      <c r="E334" s="1">
        <v>46022</v>
      </c>
      <c r="F334" t="s">
        <v>609</v>
      </c>
      <c r="G334" s="2" t="s">
        <v>269</v>
      </c>
      <c r="H334" s="4">
        <v>1282000</v>
      </c>
      <c r="I334" t="s">
        <v>21</v>
      </c>
    </row>
    <row r="335" spans="1:9" x14ac:dyDescent="0.25">
      <c r="A335">
        <v>6579808</v>
      </c>
      <c r="B335" t="s">
        <v>18</v>
      </c>
      <c r="C335" t="s">
        <v>19</v>
      </c>
      <c r="D335" s="1">
        <v>45658</v>
      </c>
      <c r="E335" s="1">
        <v>46022</v>
      </c>
      <c r="F335" t="s">
        <v>610</v>
      </c>
      <c r="G335" s="14" t="s">
        <v>270</v>
      </c>
      <c r="H335" s="4">
        <v>1127000</v>
      </c>
      <c r="I335" t="s">
        <v>21</v>
      </c>
    </row>
    <row r="336" spans="1:9" x14ac:dyDescent="0.25">
      <c r="A336">
        <v>6579809</v>
      </c>
      <c r="B336" t="s">
        <v>18</v>
      </c>
      <c r="C336" t="s">
        <v>19</v>
      </c>
      <c r="D336" s="1">
        <v>45658</v>
      </c>
      <c r="E336" s="1">
        <v>46022</v>
      </c>
      <c r="F336" t="s">
        <v>611</v>
      </c>
      <c r="G336" s="14" t="s">
        <v>271</v>
      </c>
      <c r="H336" s="4">
        <v>155000</v>
      </c>
      <c r="I336" t="s">
        <v>21</v>
      </c>
    </row>
    <row r="337" spans="1:9" x14ac:dyDescent="0.25">
      <c r="A337">
        <v>6579810</v>
      </c>
      <c r="B337" t="s">
        <v>18</v>
      </c>
      <c r="C337" t="s">
        <v>19</v>
      </c>
      <c r="D337" s="1">
        <v>45658</v>
      </c>
      <c r="E337" s="1">
        <v>46022</v>
      </c>
      <c r="F337" t="s">
        <v>612</v>
      </c>
      <c r="G337" s="14" t="s">
        <v>255</v>
      </c>
      <c r="H337" s="4">
        <v>0</v>
      </c>
      <c r="I337" t="s">
        <v>21</v>
      </c>
    </row>
    <row r="338" spans="1:9" x14ac:dyDescent="0.25">
      <c r="A338">
        <v>6579811</v>
      </c>
      <c r="B338" t="s">
        <v>18</v>
      </c>
      <c r="C338" t="s">
        <v>19</v>
      </c>
      <c r="D338" s="1">
        <v>45658</v>
      </c>
      <c r="E338" s="1">
        <v>46022</v>
      </c>
      <c r="F338" t="s">
        <v>613</v>
      </c>
      <c r="G338" s="2" t="s">
        <v>272</v>
      </c>
      <c r="H338" s="4">
        <v>98000</v>
      </c>
      <c r="I338" t="s">
        <v>21</v>
      </c>
    </row>
    <row r="339" spans="1:9" x14ac:dyDescent="0.25">
      <c r="A339">
        <v>6579812</v>
      </c>
      <c r="B339" t="s">
        <v>18</v>
      </c>
      <c r="C339" t="s">
        <v>19</v>
      </c>
      <c r="D339" s="1">
        <v>45658</v>
      </c>
      <c r="E339" s="1">
        <v>46022</v>
      </c>
      <c r="F339" t="s">
        <v>614</v>
      </c>
      <c r="G339" s="14" t="s">
        <v>273</v>
      </c>
      <c r="H339" s="4">
        <v>0</v>
      </c>
      <c r="I339" t="s">
        <v>21</v>
      </c>
    </row>
    <row r="340" spans="1:9" x14ac:dyDescent="0.25">
      <c r="A340">
        <v>6579813</v>
      </c>
      <c r="B340" t="s">
        <v>18</v>
      </c>
      <c r="C340" t="s">
        <v>19</v>
      </c>
      <c r="D340" s="1">
        <v>45658</v>
      </c>
      <c r="E340" s="1">
        <v>46022</v>
      </c>
      <c r="F340" t="s">
        <v>615</v>
      </c>
      <c r="G340" s="14" t="s">
        <v>235</v>
      </c>
      <c r="H340" s="4">
        <v>0</v>
      </c>
      <c r="I340" t="s">
        <v>21</v>
      </c>
    </row>
    <row r="341" spans="1:9" x14ac:dyDescent="0.25">
      <c r="A341">
        <v>6579814</v>
      </c>
      <c r="B341" t="s">
        <v>18</v>
      </c>
      <c r="C341" t="s">
        <v>19</v>
      </c>
      <c r="D341" s="1">
        <v>45658</v>
      </c>
      <c r="E341" s="1">
        <v>46022</v>
      </c>
      <c r="F341" t="s">
        <v>616</v>
      </c>
      <c r="G341" s="14" t="s">
        <v>274</v>
      </c>
      <c r="H341" s="4">
        <v>98000</v>
      </c>
      <c r="I341" t="s">
        <v>21</v>
      </c>
    </row>
    <row r="342" spans="1:9" x14ac:dyDescent="0.25">
      <c r="A342">
        <v>6579815</v>
      </c>
      <c r="B342" t="s">
        <v>18</v>
      </c>
      <c r="C342" t="s">
        <v>19</v>
      </c>
      <c r="D342" s="1">
        <v>45658</v>
      </c>
      <c r="E342" s="1">
        <v>46022</v>
      </c>
      <c r="F342" t="s">
        <v>617</v>
      </c>
      <c r="G342" s="14" t="s">
        <v>275</v>
      </c>
      <c r="H342" s="4">
        <v>0</v>
      </c>
      <c r="I342" t="s">
        <v>21</v>
      </c>
    </row>
    <row r="343" spans="1:9" x14ac:dyDescent="0.25">
      <c r="A343">
        <v>6579816</v>
      </c>
      <c r="B343" t="s">
        <v>18</v>
      </c>
      <c r="C343" t="s">
        <v>19</v>
      </c>
      <c r="D343" s="1">
        <v>45658</v>
      </c>
      <c r="E343" s="1">
        <v>46022</v>
      </c>
      <c r="F343" t="s">
        <v>618</v>
      </c>
      <c r="G343" s="2" t="s">
        <v>44</v>
      </c>
      <c r="H343" s="4">
        <v>-369000</v>
      </c>
      <c r="I343" t="s">
        <v>21</v>
      </c>
    </row>
    <row r="344" spans="1:9" x14ac:dyDescent="0.25">
      <c r="A344">
        <v>6579817</v>
      </c>
      <c r="B344" t="s">
        <v>18</v>
      </c>
      <c r="C344" t="s">
        <v>19</v>
      </c>
      <c r="D344" s="1">
        <v>45658</v>
      </c>
      <c r="E344" s="1">
        <v>46022</v>
      </c>
      <c r="F344" t="s">
        <v>619</v>
      </c>
      <c r="G344" s="14" t="s">
        <v>276</v>
      </c>
      <c r="H344" s="7">
        <v>-369000</v>
      </c>
      <c r="I344" t="s">
        <v>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2296CF-BB70-4A18-9FBE-8444F57DEE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DRE</vt:lpstr>
      <vt:lpstr>Indicadores</vt:lpstr>
      <vt:lpstr>Estrutura</vt:lpstr>
      <vt:lpstr>20234T</vt:lpstr>
      <vt:lpstr>20244T</vt:lpstr>
      <vt:lpstr>20254T</vt:lpstr>
      <vt:lpstr>DRE</vt:lpstr>
      <vt:lpstr>IMPOSTOS_DRE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Moura</dc:creator>
  <cp:lastModifiedBy>Felipe Moura</cp:lastModifiedBy>
  <dcterms:created xsi:type="dcterms:W3CDTF">2026-04-01T13:16:35Z</dcterms:created>
  <dcterms:modified xsi:type="dcterms:W3CDTF">2026-05-26T13:20:29Z</dcterms:modified>
</cp:coreProperties>
</file>